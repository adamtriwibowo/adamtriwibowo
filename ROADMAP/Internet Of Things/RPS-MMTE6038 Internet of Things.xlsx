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SUS\Desktop\RKI BU MELINDA\KULIAH\"/>
    </mc:Choice>
  </mc:AlternateContent>
  <xr:revisionPtr revIDLastSave="0" documentId="13_ncr:1_{CE7A43CC-5F5C-4267-91FE-A5867EB40044}" xr6:coauthVersionLast="47" xr6:coauthVersionMax="47" xr10:uidLastSave="{00000000-0000-0000-0000-000000000000}"/>
  <bookViews>
    <workbookView xWindow="-108" yWindow="-108" windowWidth="23256" windowHeight="12456" xr2:uid="{00000000-000D-0000-FFFF-FFFF00000000}"/>
  </bookViews>
  <sheets>
    <sheet name="URAIAN RPS" sheetId="1" r:id="rId1"/>
  </sheets>
  <calcPr calcId="181029"/>
  <extLst>
    <ext uri="GoogleSheetsCustomDataVersion2">
      <go:sheetsCustomData xmlns:go="http://customooxmlschemas.google.com/" r:id="rId5" roundtripDataChecksum="08zNpXAZV0zMj9wCh3SEfb6LgUcNUhcgcWD5qARoLb0="/>
    </ext>
  </extLst>
</workbook>
</file>

<file path=xl/calcChain.xml><?xml version="1.0" encoding="utf-8"?>
<calcChain xmlns="http://schemas.openxmlformats.org/spreadsheetml/2006/main">
  <c r="M69" i="1" l="1"/>
  <c r="L69" i="1"/>
  <c r="K69" i="1"/>
  <c r="M63" i="1"/>
  <c r="L63" i="1"/>
  <c r="K63" i="1"/>
  <c r="O65" i="1" s="1"/>
  <c r="O69" i="1" s="1"/>
  <c r="K70" i="1" s="1"/>
  <c r="J27" i="1"/>
  <c r="F27" i="1"/>
  <c r="E27" i="1"/>
  <c r="R67" i="1" l="1"/>
  <c r="R68" i="1"/>
  <c r="R66" i="1"/>
  <c r="R69" i="1" s="1"/>
</calcChain>
</file>

<file path=xl/sharedStrings.xml><?xml version="1.0" encoding="utf-8"?>
<sst xmlns="http://schemas.openxmlformats.org/spreadsheetml/2006/main" count="255" uniqueCount="208">
  <si>
    <t>UNIVERSITAS SYIAH KUALA</t>
  </si>
  <si>
    <r>
      <rPr>
        <b/>
        <sz val="12"/>
        <color theme="1"/>
        <rFont val="Cambria"/>
      </rPr>
      <t>Kode
Dokumen</t>
    </r>
    <r>
      <rPr>
        <i/>
        <sz val="9"/>
        <color rgb="FF0000CC"/>
        <rFont val="Cambria"/>
      </rPr>
      <t xml:space="preserve">
</t>
    </r>
    <r>
      <rPr>
        <sz val="9"/>
        <color rgb="FF0000CC"/>
        <rFont val="Cambria"/>
      </rPr>
      <t>20101-6038-02-00</t>
    </r>
  </si>
  <si>
    <t>FAKULTAS TEKNIK</t>
  </si>
  <si>
    <t>PROGRAM STUDI MEGISTER TEKNIK ELEKTRO</t>
  </si>
  <si>
    <t xml:space="preserve">RENCANA PEMBELAJARAN SEMESTER </t>
  </si>
  <si>
    <t>MATA KULIAH (MK)</t>
  </si>
  <si>
    <t>Kode MK</t>
  </si>
  <si>
    <t>Kategori</t>
  </si>
  <si>
    <t>MK Prasyarat</t>
  </si>
  <si>
    <t>Rumpun MK</t>
  </si>
  <si>
    <t>Bobot (sks)</t>
  </si>
  <si>
    <t>Semester</t>
  </si>
  <si>
    <t>Tgl Penyusunan</t>
  </si>
  <si>
    <t xml:space="preserve">Internet of Things </t>
  </si>
  <si>
    <t>MMTE6038</t>
  </si>
  <si>
    <t>PILIHAN</t>
  </si>
  <si>
    <t>-</t>
  </si>
  <si>
    <t>Telecommunications and Signal Processing</t>
  </si>
  <si>
    <t>T=3</t>
  </si>
  <si>
    <t>P=0</t>
  </si>
  <si>
    <t>OTORISASI</t>
  </si>
  <si>
    <t>Koordinator Pengembang RPS</t>
  </si>
  <si>
    <t>Koordinator MK</t>
  </si>
  <si>
    <t>Koordinator Program Studi</t>
  </si>
  <si>
    <r>
      <rPr>
        <b/>
        <i/>
        <sz val="10"/>
        <color rgb="FF000000"/>
        <rFont val="Cambria"/>
      </rPr>
      <t xml:space="preserve">
</t>
    </r>
    <r>
      <rPr>
        <b/>
        <sz val="10"/>
        <color rgb="FF000000"/>
        <rFont val="Cambria"/>
      </rPr>
      <t>Prof. Dr. Ir. Roslidar, ST., M.Sc., IPM. ASEAN Eng.</t>
    </r>
  </si>
  <si>
    <t xml:space="preserve">Dosen Pengampu </t>
  </si>
  <si>
    <t>Deskripsi Singkat MK</t>
  </si>
  <si>
    <t xml:space="preserve">Mata kuliah ini memperkenalkan konsep-konep Internet Of Things serta contoh penerapannya. IoT membahas tentang  pengaruh dari lingkungan, manusia, serta waktu pada perkembangan IoT. memahami protocol data dan jaringan pada teknologi IoT, mengimplementasikan keamanan IoT bekerja, cara kerja dari domain aplikasi dari IoT, memahami pengertian, cara kerja, dan contoh dari Cloud Computing dalam IoT, pengertian, cara kerja, dan contoh dari teknologi 5G dari IoT, IoT bekerja dalam perkembangan industri, IoT bekerja dalam bidang penerbangan, Mampu menjelaskan Tren Riset dalam bidang IoT , Mampu mengimplementasikan dan mempresentasikan sebuah project IoT. </t>
  </si>
  <si>
    <t>Capaian Pembelajaran</t>
  </si>
  <si>
    <t>CPL-Prodi (Capaian Pembelajaran Lulusan Program Studi) yang di bebankan pada MK</t>
  </si>
  <si>
    <t>CPL-04</t>
  </si>
  <si>
    <t>Memiliki pengetahuan teoritis yang luas untuk mengidentifikasi, merumuskan, menganalisa dan menyelesaikan masalah atau memberikan solusi alternatif dalam bidang teknik elektro dan pengetahuan khusus yang mendalam pada bidang keahliannya.</t>
  </si>
  <si>
    <t>CPL-05</t>
  </si>
  <si>
    <t>Mampu memahami secara mendalam tentang konsep dasar dan prinsip kerja Internet of Things, yang merupakan paradigma teknologi yang sedang berkembang pesat dan mampu memperoleh keterampilan teknis yang diperlukan untuk merancang, mengembangkan, dan mengimplementasikan sistem IoT.</t>
  </si>
  <si>
    <t xml:space="preserve">Capaian Pembelajaran Mata Kuliah (CPMK) </t>
  </si>
  <si>
    <t>CPMK088</t>
  </si>
  <si>
    <t>Mampu memahami konsep IoT dan Keamanan IoT</t>
  </si>
  <si>
    <t>CPMK089</t>
  </si>
  <si>
    <t>Mampu memahami penggunaan framework dan Protokol IoT</t>
  </si>
  <si>
    <t>CPMK090</t>
  </si>
  <si>
    <t>Mampu merancang dan mengimplementasikan sistem IoT</t>
  </si>
  <si>
    <t>Matriks Korelasi CPL dan CPMK</t>
  </si>
  <si>
    <t>Korelasi CPL terhadap CPMK</t>
  </si>
  <si>
    <t>CPMK</t>
  </si>
  <si>
    <t>CPL(%)</t>
  </si>
  <si>
    <t>Bobot CPMK (%)</t>
  </si>
  <si>
    <t>CPL04</t>
  </si>
  <si>
    <t>CPL05</t>
  </si>
  <si>
    <t>Bobot CPL (%)</t>
  </si>
  <si>
    <t>Matriks Kesesuaian CPMK terhadap Visi Universitas, SDGs, dan Research Based Learning (RBE)</t>
  </si>
  <si>
    <t>Korelasi CPMK terhadap Visi Universitas, SDGs, dan RBL</t>
  </si>
  <si>
    <t>Aspek</t>
  </si>
  <si>
    <t>Sosio-Teknopreneur</t>
  </si>
  <si>
    <t>SDGs ke-</t>
  </si>
  <si>
    <t>RBL</t>
  </si>
  <si>
    <t>√</t>
  </si>
  <si>
    <t>Centang aspek yang sesuai dengan CPMK, Khusus SDGs dituliskan nomor SDGs yang sesuai di CPMK terkait</t>
  </si>
  <si>
    <t>Bahan Kajian /
Materi Pembelajaran</t>
  </si>
  <si>
    <t>1. Sinyal Biopotensial</t>
  </si>
  <si>
    <t>2.  Pengolahan Sinyal Biomedika</t>
  </si>
  <si>
    <r>
      <rPr>
        <sz val="10"/>
        <color theme="1"/>
        <rFont val="Cambria"/>
      </rPr>
      <t xml:space="preserve">3. Metoda </t>
    </r>
    <r>
      <rPr>
        <i/>
        <sz val="10"/>
        <color theme="1"/>
        <rFont val="Cambria"/>
      </rPr>
      <t>Frequency Based dan Time-Frequency Based</t>
    </r>
  </si>
  <si>
    <t xml:space="preserve">4. Implementasi pengolahan sinyal dalam biomedik. </t>
  </si>
  <si>
    <t>Utama :</t>
  </si>
  <si>
    <t>[1]. John Wiley &amp; Sons, Inc. All rights reserved. 2018.Internet of Things A to Z: Technologies and Applications.The Institute of Electrical and Electronics Engineers, Inc.</t>
  </si>
  <si>
    <t xml:space="preserve">Pendukung : </t>
  </si>
  <si>
    <t>Kriteria Penilaian</t>
  </si>
  <si>
    <t>Kriteria dan Item Penilaian</t>
  </si>
  <si>
    <t>Rentang Skor</t>
  </si>
  <si>
    <t>Huruf Mutu</t>
  </si>
  <si>
    <t xml:space="preserve">Kategori </t>
  </si>
  <si>
    <t>Status Kelulusan</t>
  </si>
  <si>
    <t>≥87</t>
  </si>
  <si>
    <t>A</t>
  </si>
  <si>
    <t>Sangat Baik</t>
  </si>
  <si>
    <t>LULUS</t>
  </si>
  <si>
    <t>78 - &lt;87</t>
  </si>
  <si>
    <t>AB</t>
  </si>
  <si>
    <t>Baik Sekali</t>
  </si>
  <si>
    <t>69 - &lt;78</t>
  </si>
  <si>
    <t>B</t>
  </si>
  <si>
    <t>Baik</t>
  </si>
  <si>
    <t>60 - &lt;69</t>
  </si>
  <si>
    <t>BC</t>
  </si>
  <si>
    <t>Sedang</t>
  </si>
  <si>
    <t>51 - &lt;60</t>
  </si>
  <si>
    <t>C</t>
  </si>
  <si>
    <t>Cukup</t>
  </si>
  <si>
    <t>41 - &lt;51</t>
  </si>
  <si>
    <t>D</t>
  </si>
  <si>
    <t xml:space="preserve">Kurang </t>
  </si>
  <si>
    <t>TIDAK LULUS</t>
  </si>
  <si>
    <t>&lt;41</t>
  </si>
  <si>
    <t>E</t>
  </si>
  <si>
    <t>Gagal</t>
  </si>
  <si>
    <t>Rencana Evaluasi</t>
  </si>
  <si>
    <t>Metode Pembelajaran :</t>
  </si>
  <si>
    <t>Case Method/Team-Based Project</t>
  </si>
  <si>
    <t>Non Case Method/Team-Based Project</t>
  </si>
  <si>
    <t>Basis Evaluasi</t>
  </si>
  <si>
    <t>Komponen Evaluasi</t>
  </si>
  <si>
    <t xml:space="preserve">Distribusi Bobot /CPMK (%) </t>
  </si>
  <si>
    <t xml:space="preserve">Total Bobot 
Case Method/Team-Based Project </t>
  </si>
  <si>
    <t>Total Bobot 
Non Case Method/Team-Based Project</t>
  </si>
  <si>
    <t>Aktivitas Partisipatif</t>
  </si>
  <si>
    <t>Case Method</t>
  </si>
  <si>
    <t>Hasil Proyek</t>
  </si>
  <si>
    <t xml:space="preserve">Team-Based Project </t>
  </si>
  <si>
    <t>Kognitif/Pengetahuan</t>
  </si>
  <si>
    <t>Tugas (T1, T2)</t>
  </si>
  <si>
    <t>Ujian Tengah Semester (UTS)</t>
  </si>
  <si>
    <t>Ujian Akhir Semester (UAS)</t>
  </si>
  <si>
    <t>Total Bobot / CPMK</t>
  </si>
  <si>
    <t>Kesimpulan Jenis Metode Pembelajaran</t>
  </si>
  <si>
    <t>*) Note : Untuk MK Case Method dan PjBL/Team-Based Project (aktivitas partisipatif dan hasil proyek), mempunyai bobot penilaian akumulasi minimal 50%</t>
  </si>
  <si>
    <t>JADWAL, URAIAN MATERI DAN KEGIATAN PERKULIAHAN</t>
  </si>
  <si>
    <t>Mg ke-</t>
  </si>
  <si>
    <t>Kemampuan Akhir Tiap Tahapan  Belajar (Sub-CPMK)</t>
  </si>
  <si>
    <t>Penilaian</t>
  </si>
  <si>
    <r>
      <rPr>
        <b/>
        <sz val="11"/>
        <color theme="1"/>
        <rFont val="Cambria"/>
      </rPr>
      <t xml:space="preserve">Bentuk Pembelajaran, Metode Pembelajaran, dan Penugasan Mahasiswa
</t>
    </r>
    <r>
      <rPr>
        <b/>
        <sz val="11"/>
        <color rgb="FF0000CC"/>
        <rFont val="Cambria"/>
      </rPr>
      <t>[Estimasi Waktu]</t>
    </r>
  </si>
  <si>
    <r>
      <rPr>
        <b/>
        <sz val="11"/>
        <color theme="1"/>
        <rFont val="Cambria"/>
      </rPr>
      <t xml:space="preserve">Materi Pembelajaran
</t>
    </r>
    <r>
      <rPr>
        <b/>
        <sz val="11"/>
        <color rgb="FF0000CC"/>
        <rFont val="Cambria"/>
      </rPr>
      <t>[Pustaka]</t>
    </r>
  </si>
  <si>
    <t>Bobot Nilai (%)</t>
  </si>
  <si>
    <t>Indikator</t>
  </si>
  <si>
    <t>Kriteria &amp; Teknik</t>
  </si>
  <si>
    <r>
      <rPr>
        <b/>
        <sz val="11"/>
        <color theme="1"/>
        <rFont val="Cambria"/>
      </rPr>
      <t>Luring (</t>
    </r>
    <r>
      <rPr>
        <b/>
        <i/>
        <sz val="11"/>
        <color theme="1"/>
        <rFont val="Cambria"/>
      </rPr>
      <t>offline)</t>
    </r>
  </si>
  <si>
    <r>
      <rPr>
        <b/>
        <sz val="11"/>
        <color theme="1"/>
        <rFont val="Cambria"/>
      </rPr>
      <t>Daring (</t>
    </r>
    <r>
      <rPr>
        <b/>
        <i/>
        <sz val="11"/>
        <color theme="1"/>
        <rFont val="Cambria"/>
      </rPr>
      <t>online</t>
    </r>
    <r>
      <rPr>
        <b/>
        <sz val="11"/>
        <color theme="1"/>
        <rFont val="Cambria"/>
      </rPr>
      <t>)</t>
    </r>
  </si>
  <si>
    <r>
      <rPr>
        <sz val="10"/>
        <color theme="1"/>
        <rFont val="Cambria"/>
      </rPr>
      <t xml:space="preserve">Mampu menjelaskan 
konsep IoT serta contoh penerapannya
</t>
    </r>
    <r>
      <rPr>
        <sz val="10"/>
        <color theme="4"/>
        <rFont val="Cambria"/>
      </rPr>
      <t>CPMK088</t>
    </r>
  </si>
  <si>
    <t xml:space="preserve">Teknik penilaian:
Diskusi Q/A dan
Tugas
Kriteria Penilaian:
Essay
</t>
  </si>
  <si>
    <t>Mahasiswa memperhatikan dan bertanya serta berdiskusi</t>
  </si>
  <si>
    <r>
      <rPr>
        <sz val="10"/>
        <color theme="1"/>
        <rFont val="Cambria"/>
      </rPr>
      <t xml:space="preserve">Berdiskusi;
Melakukan tugas baca di luar kelas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</si>
  <si>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</si>
  <si>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t xml:space="preserve">Pendalaman materi/konsep terkait Project yang akan dikembangkan: 
a. Pemaparan RPS
b. Pengantar sinyal dan system
c.  pemrosesan sinyal,
d. klasifikasi sinyal
</t>
  </si>
  <si>
    <r>
      <rPr>
        <sz val="10"/>
        <color theme="1"/>
        <rFont val="Cambria"/>
      </rPr>
      <t xml:space="preserve">Mahasiswa dapat memahami bagaimana pengaruh dari lingkungan, manusia, serta waktu pada perkembangan IoT
</t>
    </r>
    <r>
      <rPr>
        <sz val="10"/>
        <color theme="4"/>
        <rFont val="Cambria"/>
      </rPr>
      <t>CPMK088</t>
    </r>
  </si>
  <si>
    <t xml:space="preserve">• Mahasiswa memperhatikan dan bertanya serta berdiskusi
• Dosen memberikan pertanyaan triger berdasarkan materi yang telah diberikan sebelumnya
• Mahasiswa menjawab pertanyaan
</t>
  </si>
  <si>
    <r>
      <rPr>
        <sz val="10"/>
        <color theme="1"/>
        <rFont val="Cambria"/>
      </rPr>
      <t xml:space="preserve">Berdiskusi;
Melakukan tugas baca di luar kelas
</t>
    </r>
    <r>
      <rPr>
        <sz val="10"/>
        <color rgb="FF0000FF"/>
        <rFont val="Cambria"/>
      </rPr>
      <t>[PB: 4 mg x (2sks x 50 menit)]</t>
    </r>
  </si>
  <si>
    <t>U: Pengumpulan tugas dan Diskusi sinkron &amp; asinkron 
[KM: 4 mg x (2sks x 60 menit)]</t>
  </si>
  <si>
    <t xml:space="preserve">Pendalaman materi/konsep terkait IoT
 </t>
  </si>
  <si>
    <r>
      <rPr>
        <sz val="10"/>
        <color theme="1"/>
        <rFont val="Cambria"/>
      </rPr>
      <t xml:space="preserve">Mahasiswa dapat memahami bagaimana membangun teknologi IoT 
</t>
    </r>
    <r>
      <rPr>
        <sz val="10"/>
        <color theme="4"/>
        <rFont val="Cambria"/>
      </rPr>
      <t>CPMK088</t>
    </r>
  </si>
  <si>
    <t xml:space="preserve">• Mahasiswa memperhatikan dan bertanya serta berdiskusi
• Dosen memberikan pertanyaan triger berdasarkan materi yang telah diberikan sebelumnya
</t>
  </si>
  <si>
    <r>
      <rPr>
        <sz val="10"/>
        <color theme="1"/>
        <rFont val="Cambria"/>
      </rPr>
      <t xml:space="preserve">Mahasiswa
melakukan kerja,
diskusi\presentasi kelompok
</t>
    </r>
    <r>
      <rPr>
        <sz val="10"/>
        <color rgb="FF0000CC"/>
        <rFont val="Cambria"/>
      </rPr>
      <t xml:space="preserve"> [PB: 4 mg x (2sks x 50 menit)]</t>
    </r>
  </si>
  <si>
    <r>
      <rPr>
        <sz val="10"/>
        <color theme="1"/>
        <rFont val="Cambria"/>
      </rPr>
      <t xml:space="preserve">U: Pengumpulan tugas dan Diskusi sinkron &amp; asinkron 
</t>
    </r>
    <r>
      <rPr>
        <sz val="10"/>
        <color rgb="FF0000FF"/>
        <rFont val="Cambria"/>
      </rPr>
      <t>[KM: 4 mg x (2sks x 60 menit)]</t>
    </r>
  </si>
  <si>
    <t>Pendalaman materi/konsep terkait IoT</t>
  </si>
  <si>
    <r>
      <rPr>
        <sz val="10"/>
        <color theme="1"/>
        <rFont val="Cambria"/>
      </rPr>
      <t xml:space="preserve">Mahasiswa mampu memahami bagaimana protocol jaringan pada IoT
</t>
    </r>
    <r>
      <rPr>
        <sz val="10"/>
        <color theme="4"/>
        <rFont val="Cambria"/>
      </rPr>
      <t>CPMK088</t>
    </r>
  </si>
  <si>
    <t>• Mahasiswa memperhatikan dan bertanya serta berdiskusi</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</si>
  <si>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</si>
  <si>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</si>
  <si>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Mahasiswa memahami protocol data pada teknologi IoT
</t>
    </r>
    <r>
      <rPr>
        <sz val="10"/>
        <color theme="4"/>
        <rFont val="Cambria"/>
      </rPr>
      <t>CPMK088</t>
    </r>
  </si>
  <si>
    <t xml:space="preserve">• Mahasiswa memperhatikan dan bertanya serta berdiskusi
• Dosen memberikan pertanyaan triger berdasarkan materi yang telah diberikan sebelumnya
</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</si>
  <si>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</si>
  <si>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</si>
  <si>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Mampu memahami dan mengimplementasikan bagaimana keamanan IoT bekerja
</t>
    </r>
    <r>
      <rPr>
        <sz val="10"/>
        <color theme="4"/>
        <rFont val="Cambria"/>
      </rPr>
      <t>CPMK088</t>
    </r>
  </si>
  <si>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</si>
  <si>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</si>
  <si>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Mampu memahami lebih jauh tentang cara kerja dari domain aplikasi dari IoT
</t>
    </r>
    <r>
      <rPr>
        <sz val="10"/>
        <color theme="4"/>
        <rFont val="Cambria"/>
      </rPr>
      <t>CPMK089</t>
    </r>
  </si>
  <si>
    <t xml:space="preserve">• Mahasiswa melaksanakan Praktikum Modul 1 </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</si>
  <si>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</si>
  <si>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</si>
  <si>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t>UJIAN TENGAH SEMESTER</t>
  </si>
  <si>
    <r>
      <rPr>
        <sz val="10"/>
        <color theme="1"/>
        <rFont val="Cambria"/>
      </rPr>
      <t xml:space="preserve">Mampu memahami pengertian, cara kerja, dan contoh dari Cloud Computing dalam IoT
</t>
    </r>
    <r>
      <rPr>
        <sz val="10"/>
        <color theme="4"/>
        <rFont val="Cambria"/>
      </rPr>
      <t>CPMK089</t>
    </r>
  </si>
  <si>
    <t xml:space="preserve">Teknik penilaian:
Diskusi Q/A dan
Tugas
Kriteria Penilaian:
Essay
</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</si>
  <si>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</si>
  <si>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</si>
  <si>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Mampu memahami pengertian, cara kerja, dan contoh dari teknologi 5G dari IoT
</t>
    </r>
    <r>
      <rPr>
        <sz val="10"/>
        <color theme="4"/>
        <rFont val="Cambria"/>
      </rPr>
      <t>CPMK089</t>
    </r>
  </si>
  <si>
    <t xml:space="preserve">• Mahasiswa melaksanakan Praktikum Modul 3
</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</si>
  <si>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</si>
  <si>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</si>
  <si>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Memahami bagaiamana IoT bekerja dalam perkembangan industri
</t>
    </r>
    <r>
      <rPr>
        <sz val="10"/>
        <color theme="4"/>
        <rFont val="Cambria"/>
      </rPr>
      <t>CPMK089</t>
    </r>
  </si>
  <si>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</si>
  <si>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</si>
  <si>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Mampu memahami konsep dan bagaimana IoT bekerja dalam bidang penerbangan
</t>
    </r>
    <r>
      <rPr>
        <sz val="10"/>
        <color theme="4"/>
        <rFont val="Cambria"/>
      </rPr>
      <t>CPMK089</t>
    </r>
  </si>
  <si>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</si>
  <si>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</si>
  <si>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r>
      <rPr>
        <sz val="10"/>
        <color theme="1"/>
        <rFont val="Cambria"/>
      </rPr>
      <t xml:space="preserve">Mampu menjelaskan Tren Riset dalam bidang IoT 
</t>
    </r>
    <r>
      <rPr>
        <sz val="10"/>
        <color theme="4"/>
        <rFont val="Cambria"/>
      </rPr>
      <t>CPMK090</t>
    </r>
  </si>
  <si>
    <t>Project Based Learning</t>
  </si>
  <si>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</si>
  <si>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</si>
  <si>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t>Tren Riset dalam bidang pengolahan sinyal dan inisiasi gagasan project kelompok</t>
  </si>
  <si>
    <r>
      <rPr>
        <sz val="10"/>
        <color theme="1"/>
        <rFont val="Cambria"/>
      </rPr>
      <t xml:space="preserve">Mampu mengimplementasikan dan mempresentasikan sebuah project IoT Sederhana
</t>
    </r>
    <r>
      <rPr>
        <sz val="10"/>
        <color theme="4"/>
        <rFont val="Cambria"/>
      </rPr>
      <t>CPMK090</t>
    </r>
  </si>
  <si>
    <r>
      <rPr>
        <sz val="10"/>
        <color theme="1"/>
        <rFont val="Cambria"/>
      </rPr>
      <t xml:space="preserve">Mahasiswa
melakukan kerja,
diskusi\presentasi kelompok
</t>
    </r>
    <r>
      <rPr>
        <sz val="10"/>
        <color rgb="FF0000FF"/>
        <rFont val="Cambria"/>
      </rPr>
      <t>[PB: 4 mg x (2sks x 50 menit)]</t>
    </r>
  </si>
  <si>
    <r>
      <rPr>
        <sz val="10"/>
        <color theme="1"/>
        <rFont val="Cambria"/>
      </rPr>
      <t xml:space="preserve">U: Pengumpulan tugas dan Diskusi sinkron &amp; asinkron 
</t>
    </r>
    <r>
      <rPr>
        <sz val="10"/>
        <color rgb="FF0000FF"/>
        <rFont val="Cambria"/>
      </rPr>
      <t>[KM: 4 mg x (2sks x 60 menit)]</t>
    </r>
  </si>
  <si>
    <t>Brainstroming Tahap I: filtering sinyal</t>
  </si>
  <si>
    <r>
      <rPr>
        <sz val="10"/>
        <color theme="1"/>
        <rFont val="Cambria"/>
      </rPr>
      <t xml:space="preserve">Mampu mengimplementasikan dan mempresentasikan sebuah project IoT Sederhana
</t>
    </r>
    <r>
      <rPr>
        <sz val="10"/>
        <color theme="4"/>
        <rFont val="Cambria"/>
      </rPr>
      <t>CPMK090</t>
    </r>
  </si>
  <si>
    <r>
      <rPr>
        <sz val="10"/>
        <color theme="1"/>
        <rFont val="Cambria"/>
      </rPr>
      <t xml:space="preserve">Mahasiswa
melakukan kerja,
diskusi/presentasi kelompok
</t>
    </r>
    <r>
      <rPr>
        <sz val="10"/>
        <color rgb="FF0000FF"/>
        <rFont val="Cambria"/>
      </rPr>
      <t>[PB: 4 mg x (2sks x 50 menit)]</t>
    </r>
  </si>
  <si>
    <r>
      <rPr>
        <sz val="10"/>
        <color rgb="FF000000"/>
        <rFont val="Cambria"/>
      </rPr>
      <t>U: Pengumpulan tugas dan Diskusi sinkron &amp; asinkron</t>
    </r>
    <r>
      <rPr>
        <sz val="10"/>
        <color rgb="FF0000FF"/>
        <rFont val="Cambria"/>
      </rPr>
      <t xml:space="preserve"> 
[KM: 4 mg x (2sks x 60 menit)]</t>
    </r>
  </si>
  <si>
    <t>Brainstroming Tahap II: Monitoring dan evaluasi</t>
  </si>
  <si>
    <t>UJIAN AKHIR SEMESTER</t>
  </si>
  <si>
    <t>TOTAL BOBOT</t>
  </si>
  <si>
    <t>Catatan:</t>
  </si>
  <si>
    <r>
      <rPr>
        <b/>
        <sz val="10"/>
        <color theme="1"/>
        <rFont val="Cambria"/>
      </rPr>
      <t>Capaian Pembelajaran Lulusan Program Studi (CPL-Prodi)</t>
    </r>
    <r>
      <rPr>
        <sz val="10"/>
        <color theme="1"/>
        <rFont val="Cambria"/>
      </rPr>
      <t xml:space="preserve"> adalah kemampuan yang dimiliki oleh setiap lulusan PRODI yang merupakan internalisasi dari sikap, penguasaan pengetahuan dan ketrampilan sesuai dengan jenjang prodinya yang diperoleh melalui proses pembelajaran.</t>
    </r>
  </si>
  <si>
    <r>
      <rPr>
        <b/>
        <sz val="10"/>
        <color theme="1"/>
        <rFont val="Cambria"/>
      </rPr>
      <t xml:space="preserve">CPL yang dibebankan pada mata kuliah </t>
    </r>
    <r>
      <rPr>
        <sz val="10"/>
        <color theme="1"/>
        <rFont val="Cambria"/>
      </rPr>
      <t>adalah beberapa capaian pembelajaran lulusan program studi (CPL-PRODI) yang digunakan untuk pembentukan/pengembangan sebuah mata kuliah yang terdiri dari aspek sikap, ketrampulan umum, ketrampilan khusus dan pengetahuan.</t>
    </r>
  </si>
  <si>
    <r>
      <rPr>
        <b/>
        <sz val="10"/>
        <color theme="1"/>
        <rFont val="Cambria"/>
      </rPr>
      <t xml:space="preserve">CP Mata kuliah (CPMK) </t>
    </r>
    <r>
      <rPr>
        <sz val="10"/>
        <color theme="1"/>
        <rFont val="Cambria"/>
      </rPr>
      <t>adalah kemampuan yang dijabarkan secara spesifik dari CPL yang dibebankan pada mata kuliah, dan bersifat spesifik terhadap bahan kajian atau materi pembelajaran mata kuliah tersebut.</t>
    </r>
  </si>
  <si>
    <r>
      <rPr>
        <b/>
        <sz val="10"/>
        <color theme="1"/>
        <rFont val="Cambria"/>
      </rPr>
      <t xml:space="preserve">Sub-CP Mata Kuliah (Sub-CPMK) </t>
    </r>
    <r>
      <rPr>
        <sz val="10"/>
        <color theme="1"/>
        <rFont val="Cambria"/>
      </rPr>
      <t>adalah kemampuan yang dijabarkan secara spesifik dari CPMK yang dapat diukur atau diamati dan merupakan kemampuan akhir yang direncanakan tiap tahap pembelajaran, dan bersifat spesifik terhadap materi pembelajaran mata kuliah tersebut</t>
    </r>
  </si>
  <si>
    <r>
      <rPr>
        <b/>
        <sz val="10"/>
        <color theme="1"/>
        <rFont val="Cambria"/>
      </rPr>
      <t xml:space="preserve">Indikator Penilaian </t>
    </r>
    <r>
      <rPr>
        <sz val="10"/>
        <color theme="1"/>
        <rFont val="Cambria"/>
      </rPr>
      <t>kemampuan dalam proses maupun hasil belajar mahasiswa adalah pernyataan spesifik dan terukur yang mengidentifikasi kemampuan atau kinerja hasil belajar mahasiswa yang disertai bukti-bukti.</t>
    </r>
  </si>
  <si>
    <r>
      <rPr>
        <b/>
        <sz val="10"/>
        <color theme="1"/>
        <rFont val="Cambria"/>
      </rPr>
      <t xml:space="preserve">Kriteria Penilaian </t>
    </r>
    <r>
      <rPr>
        <sz val="10"/>
        <color theme="1"/>
        <rFont val="Cambria"/>
      </rPr>
      <t>adalah patokan yang digunakan sebagai ukuran atau tolak ukur ketercapaian pembelajaran dalam penilaian berdasarkan indikator-indikatoe yang telah ditetapkan. Kriteria penilaian merupakan pedoman bagi penilai agar penilaian konsisten dan tidak bias. Kriteria dapat berupa kuantitatif maupun kualitatif.</t>
    </r>
  </si>
  <si>
    <r>
      <rPr>
        <b/>
        <sz val="10"/>
        <color theme="1"/>
        <rFont val="Cambria"/>
      </rPr>
      <t>Teknik Penilaian:</t>
    </r>
    <r>
      <rPr>
        <sz val="10"/>
        <color theme="1"/>
        <rFont val="Cambria"/>
      </rPr>
      <t xml:space="preserve"> tes dan non-tes</t>
    </r>
  </si>
  <si>
    <r>
      <rPr>
        <b/>
        <sz val="10"/>
        <color theme="1"/>
        <rFont val="Cambria"/>
      </rPr>
      <t>Bentuk Pembelajaran</t>
    </r>
    <r>
      <rPr>
        <sz val="10"/>
        <color theme="1"/>
        <rFont val="Cambria"/>
      </rPr>
      <t>: Kuliah, Responsi, Tutorial, Seminar atau yang setara, Praktikum, Praktik Studio, Praktik Bengkel, Praktik Lapangan, Penelitian, Pengabdian kepada Masyarakat, dan/atau bentuk pembelajaran lainnya</t>
    </r>
  </si>
  <si>
    <r>
      <rPr>
        <b/>
        <sz val="10"/>
        <color theme="1"/>
        <rFont val="Cambria"/>
      </rPr>
      <t>Luring (offline)</t>
    </r>
    <r>
      <rPr>
        <sz val="10"/>
        <color theme="1"/>
        <rFont val="Cambria"/>
      </rPr>
      <t xml:space="preserve"> Pembelajaran tatap muka, juga dikenal sebagai pembelajaran luring, adalah konsep pembelajaran yang mengambil bentuk model pembelajaran konvensional dan mengumpulkan dosen dan mahasiswa dalam satu ruang untuk belajar.</t>
    </r>
  </si>
  <si>
    <r>
      <rPr>
        <b/>
        <sz val="10"/>
        <color theme="1"/>
        <rFont val="Cambria"/>
      </rPr>
      <t>Daring (online)</t>
    </r>
    <r>
      <rPr>
        <sz val="10"/>
        <color theme="1"/>
        <rFont val="Cambria"/>
      </rPr>
      <t xml:space="preserve"> adalah Proses pembelajaran daring dapat dikategorikan menjadi dua jenis, yaitu belajar mandiri dan belajar terbimbing. Proses pembelajaran bisa secara </t>
    </r>
    <r>
      <rPr>
        <i/>
        <sz val="10"/>
        <color theme="1"/>
        <rFont val="Cambria"/>
      </rPr>
      <t>synchronous</t>
    </r>
    <r>
      <rPr>
        <sz val="10"/>
        <color theme="1"/>
        <rFont val="Cambria"/>
      </rPr>
      <t xml:space="preserve"> (serentak) atau </t>
    </r>
    <r>
      <rPr>
        <i/>
        <sz val="10"/>
        <color theme="1"/>
        <rFont val="Cambria"/>
      </rPr>
      <t>asynchronous</t>
    </r>
    <r>
      <rPr>
        <sz val="10"/>
        <color theme="1"/>
        <rFont val="Cambria"/>
      </rPr>
      <t xml:space="preserve"> (tidak serentak) dan maksimum 35% dari jumlah total pertemuan (5 kali pertemuan).</t>
    </r>
  </si>
  <si>
    <r>
      <rPr>
        <b/>
        <sz val="10"/>
        <color theme="1"/>
        <rFont val="Cambria"/>
      </rPr>
      <t>Metode Pembelajaran:</t>
    </r>
    <r>
      <rPr>
        <sz val="10"/>
        <color theme="1"/>
        <rFont val="Cambria"/>
      </rPr>
      <t xml:space="preserve"> Small Grup Discussion, Role-Play &amp; Simulation, Discovery Learning, Self-Directed Learning, Cooperative Learning, Collaborative Learning, Contextual Learning, Project Based Learning, dan metode lain yang setara.</t>
    </r>
  </si>
  <si>
    <r>
      <rPr>
        <b/>
        <sz val="10"/>
        <color theme="1"/>
        <rFont val="Cambria"/>
      </rPr>
      <t>Materi Pembelajaran</t>
    </r>
    <r>
      <rPr>
        <sz val="10"/>
        <color theme="1"/>
        <rFont val="Cambria"/>
      </rPr>
      <t xml:space="preserve"> adalah rincian atau uraian dari bahan kajian yang dapat disajikan dalam bentuk beberapa pokok dan sub-pokok bahasan.</t>
    </r>
  </si>
  <si>
    <r>
      <rPr>
        <b/>
        <sz val="10"/>
        <color theme="1"/>
        <rFont val="Cambria"/>
      </rPr>
      <t>Bobot Penilaian</t>
    </r>
    <r>
      <rPr>
        <sz val="10"/>
        <color theme="1"/>
        <rFont val="Cambria"/>
      </rPr>
      <t xml:space="preserve"> adalah persentase pernilaian terhadap setiap pencapaian sub-CPMK yang besarnya proposional dengan tingkat kesulitan pencapaian sub-CPMK tersebut dan totalnya 100%.</t>
    </r>
  </si>
  <si>
    <r>
      <rPr>
        <b/>
        <sz val="10"/>
        <color theme="1"/>
        <rFont val="Cambria"/>
      </rPr>
      <t>PB</t>
    </r>
    <r>
      <rPr>
        <sz val="10"/>
        <color theme="1"/>
        <rFont val="Cambria"/>
      </rPr>
      <t xml:space="preserve">=Proses Belajar, </t>
    </r>
    <r>
      <rPr>
        <b/>
        <sz val="10"/>
        <color theme="1"/>
        <rFont val="Cambria"/>
      </rPr>
      <t>PT</t>
    </r>
    <r>
      <rPr>
        <sz val="10"/>
        <color theme="1"/>
        <rFont val="Cambria"/>
      </rPr>
      <t xml:space="preserve">=Penugasan Terstruktur, </t>
    </r>
    <r>
      <rPr>
        <b/>
        <sz val="10"/>
        <color theme="1"/>
        <rFont val="Cambria"/>
      </rPr>
      <t>KM</t>
    </r>
    <r>
      <rPr>
        <sz val="10"/>
        <color theme="1"/>
        <rFont val="Cambria"/>
      </rPr>
      <t>=Kegiatan Mandiri.</t>
    </r>
  </si>
  <si>
    <r>
      <rPr>
        <b/>
        <sz val="10"/>
        <color theme="1"/>
        <rFont val="Cambria"/>
      </rPr>
      <t xml:space="preserve">Sustainable Development Goals (SDGs): </t>
    </r>
    <r>
      <rPr>
        <sz val="10"/>
        <color theme="1"/>
        <rFont val="Cambria"/>
      </rPr>
      <t>17 Tujuan Pembangunan Berkelanjutan yaitu (1) Tanpa Kemiskinan; (2) Tanpa Kelaparan; (3) Kehidupan Sehat dan Sejahtera; (4) Pendidikan Berkualitas; (5) Kesetaraan Gender; (6) Air Bersih dan Sanitasi Layak; (7) Energi Bersih dan Terjangkau; (8) Pekerjaan Layak dan Pertumbuhan Ekonomi; (9) Industri, Inovasi dan Infrastruktur; (10) Berkurangnya Kesenjangan; (11) Kota dan Permukiman yang Berkelanjutan; (12) Konsumsi dan Produksi yang Bertanggung Jawab; (13) Penanganan Perubahan Iklim; (14) Ekosistem Lautan; (15) Ekosistem Daratan; (16) Perdamaian, Keadilan dan Kelembagaan yang Tangguh; (17) Kemitraan untuk Mencapai Tujuan. (https://www.timeshighereducation.com/impactrankings)</t>
    </r>
  </si>
  <si>
    <r>
      <rPr>
        <b/>
        <sz val="10"/>
        <color theme="1"/>
        <rFont val="Cambria"/>
      </rPr>
      <t xml:space="preserve">Sosio-Teknopreneur </t>
    </r>
    <r>
      <rPr>
        <sz val="10"/>
        <color theme="1"/>
        <rFont val="Cambria"/>
      </rPr>
      <t xml:space="preserve">merupakan kemampuan menyelesaikan masalah yang ada di dalam lingkungan masyarakat dengan memanfaatkan sumber daya yang ada di sekitarnya. Mata  kuliah  tersebut dipastikan mencakup keterampilan yang dibutuhkan, seperti kewirausahaan, inovasi, manajemen proyek, dan aspek teknis dalam bidang teknologi informasi. </t>
    </r>
  </si>
  <si>
    <r>
      <rPr>
        <b/>
        <sz val="10"/>
        <color theme="1"/>
        <rFont val="Cambria"/>
      </rPr>
      <t>Research-Based Learning (RBL)</t>
    </r>
    <r>
      <rPr>
        <sz val="10"/>
        <color theme="1"/>
        <rFont val="Cambria"/>
      </rPr>
      <t xml:space="preserve"> adalah suatu metode pembelajaran dengan konsep multi-segi yang mengacu pada berbagai strategi pembelajaran dan pengajaran yang menghubungkan penelitian dan pengajaran.</t>
    </r>
  </si>
  <si>
    <t>19 Februari 2026</t>
  </si>
  <si>
    <r>
      <t xml:space="preserve">
</t>
    </r>
    <r>
      <rPr>
        <b/>
        <sz val="10"/>
        <color rgb="FF000000"/>
        <rFont val="Cambria"/>
        <family val="1"/>
      </rPr>
      <t xml:space="preserve">Prof. </t>
    </r>
    <r>
      <rPr>
        <b/>
        <sz val="10"/>
        <color rgb="FF000000"/>
        <rFont val="Cambria"/>
      </rPr>
      <t>Dr. Ir. Melinda, ST., M.Sc., IPU., ASEAN. Eng., APEC Eng.</t>
    </r>
  </si>
  <si>
    <t xml:space="preserve">
Prof. Dr. Ir. Melinda, ST., M.Sc., IPU., ASEAN. Eng., APEC Eng.</t>
  </si>
  <si>
    <t>Prof. Dr. Ir. Melinda, ST., M.Sc., IPU., ASEAN. Eng., APEC Eng.; Prof. Dr. Ir. Syahrial, M.Eng., IPM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</si>
</sst>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
    <numFmt numFmtId="165" formatCode="0.0"/>
  </numFmts>
  <fonts count="34">
    <font>
      <sz val="11"/>
      <color theme="1"/>
      <name val="Calibri"/>
      <scheme val="minor"/>
    </font>
    <font>
      <sz val="11"/>
      <color theme="1"/>
      <name val="Cambria"/>
    </font>
    <font>
      <sz val="11"/>
      <name val="Calibri"/>
    </font>
    <font>
      <b/>
      <sz val="18"/>
      <color theme="1"/>
      <name val="Cambria"/>
    </font>
    <font>
      <b/>
      <sz val="12"/>
      <color theme="1"/>
      <name val="Cambria"/>
    </font>
    <font>
      <b/>
      <sz val="16"/>
      <color theme="1"/>
      <name val="Cambria"/>
    </font>
    <font>
      <b/>
      <sz val="14"/>
      <color theme="1"/>
      <name val="Cambria"/>
    </font>
    <font>
      <b/>
      <sz val="11"/>
      <color theme="1"/>
      <name val="Cambria"/>
    </font>
    <font>
      <sz val="10"/>
      <color rgb="FF000000"/>
      <name val="Cambria"/>
    </font>
    <font>
      <i/>
      <sz val="10"/>
      <color rgb="FF000000"/>
      <name val="Cambria"/>
    </font>
    <font>
      <sz val="10"/>
      <color theme="1"/>
      <name val="Cambria"/>
    </font>
    <font>
      <b/>
      <i/>
      <sz val="10"/>
      <color rgb="FF000000"/>
      <name val="Cambria"/>
    </font>
    <font>
      <b/>
      <sz val="11"/>
      <color rgb="FF000000"/>
      <name val="Cambria"/>
    </font>
    <font>
      <sz val="11"/>
      <color rgb="FF000000"/>
      <name val="Cambria"/>
    </font>
    <font>
      <i/>
      <sz val="10"/>
      <color rgb="FF0000CC"/>
      <name val="Cambria"/>
    </font>
    <font>
      <b/>
      <sz val="10"/>
      <color rgb="FF000000"/>
      <name val="Cambria"/>
    </font>
    <font>
      <b/>
      <sz val="10"/>
      <color theme="1"/>
      <name val="Cambria"/>
    </font>
    <font>
      <b/>
      <i/>
      <sz val="11"/>
      <color rgb="FF0000CC"/>
      <name val="Cambria"/>
    </font>
    <font>
      <b/>
      <sz val="8"/>
      <color theme="1"/>
      <name val="Cambria"/>
    </font>
    <font>
      <sz val="11"/>
      <color theme="1"/>
      <name val="Calibri"/>
    </font>
    <font>
      <sz val="12"/>
      <color theme="1"/>
      <name val="Cambria"/>
    </font>
    <font>
      <sz val="10"/>
      <color rgb="FF0000CC"/>
      <name val="Cambria"/>
    </font>
    <font>
      <b/>
      <sz val="10"/>
      <color theme="4"/>
      <name val="Cambria"/>
    </font>
    <font>
      <sz val="10"/>
      <color rgb="FF0000FF"/>
      <name val="Cambria"/>
    </font>
    <font>
      <i/>
      <sz val="9"/>
      <color rgb="FF0000CC"/>
      <name val="Cambria"/>
    </font>
    <font>
      <sz val="9"/>
      <color rgb="FF0000CC"/>
      <name val="Cambria"/>
    </font>
    <font>
      <i/>
      <sz val="10"/>
      <color theme="1"/>
      <name val="Cambria"/>
    </font>
    <font>
      <b/>
      <sz val="11"/>
      <color rgb="FF0000CC"/>
      <name val="Cambria"/>
    </font>
    <font>
      <b/>
      <i/>
      <sz val="11"/>
      <color theme="1"/>
      <name val="Cambria"/>
    </font>
    <font>
      <sz val="10"/>
      <color theme="4"/>
      <name val="Cambria"/>
    </font>
    <font>
      <b/>
      <sz val="10"/>
      <color rgb="FF000000"/>
      <name val="Cambria"/>
      <family val="1"/>
    </font>
    <font>
      <b/>
      <i/>
      <sz val="10"/>
      <color rgb="FF000000"/>
      <name val="Cambria"/>
      <family val="1"/>
    </font>
    <font>
      <sz val="11"/>
      <name val="Calibri"/>
      <family val="2"/>
    </font>
    <font>
      <sz val="10"/>
      <color theme="1"/>
      <name val="Cambria"/>
      <family val="1"/>
    </font>
  </fonts>
  <fills count="9">
    <fill>
      <patternFill patternType="none"/>
    </fill>
    <fill>
      <patternFill patternType="gray125"/>
    </fill>
    <fill>
      <patternFill patternType="solid">
        <fgColor rgb="FFD8D8D8"/>
        <bgColor rgb="FFD8D8D8"/>
      </patternFill>
    </fill>
    <fill>
      <patternFill patternType="solid">
        <fgColor rgb="FFE2EFD9"/>
        <bgColor rgb="FFE2EFD9"/>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FE598"/>
        <bgColor rgb="FFFFE598"/>
      </patternFill>
    </fill>
    <fill>
      <patternFill patternType="solid">
        <fgColor theme="0"/>
        <bgColor theme="0"/>
      </patternFill>
    </fill>
  </fills>
  <borders count="4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bottom/>
      <diagonal/>
    </border>
  </borders>
  <cellStyleXfs count="1">
    <xf numFmtId="0" fontId="0" fillId="0" borderId="0"/>
  </cellStyleXfs>
  <cellXfs count="209">
    <xf numFmtId="0" fontId="0" fillId="0" borderId="0" xfId="0"/>
    <xf numFmtId="0" fontId="1" fillId="0" borderId="0" xfId="0" applyFont="1" applyAlignment="1">
      <alignment vertical="center"/>
    </xf>
    <xf numFmtId="0" fontId="7" fillId="2" borderId="10" xfId="0" applyFont="1" applyFill="1" applyBorder="1" applyAlignment="1">
      <alignment horizontal="center" vertical="center"/>
    </xf>
    <xf numFmtId="0" fontId="1" fillId="0" borderId="0" xfId="0" applyFont="1" applyAlignment="1">
      <alignment horizontal="center" vertical="center"/>
    </xf>
    <xf numFmtId="0" fontId="8" fillId="0" borderId="11" xfId="0" applyFont="1" applyBorder="1" applyAlignment="1">
      <alignment horizontal="center" vertical="top" wrapText="1"/>
    </xf>
    <xf numFmtId="0" fontId="10" fillId="0" borderId="0" xfId="0" applyFont="1"/>
    <xf numFmtId="0" fontId="1" fillId="0" borderId="0" xfId="0" applyFont="1"/>
    <xf numFmtId="0" fontId="1" fillId="0" borderId="0" xfId="0" applyFont="1" applyAlignment="1">
      <alignment horizontal="center"/>
    </xf>
    <xf numFmtId="0" fontId="8" fillId="0" borderId="6" xfId="0" applyFont="1" applyBorder="1" applyAlignment="1">
      <alignment vertical="top" wrapText="1"/>
    </xf>
    <xf numFmtId="0" fontId="8" fillId="0" borderId="10" xfId="0" applyFont="1" applyBorder="1" applyAlignment="1">
      <alignment vertical="top" wrapText="1"/>
    </xf>
    <xf numFmtId="0" fontId="8" fillId="0" borderId="10" xfId="0" applyFont="1" applyBorder="1" applyAlignment="1">
      <alignment vertical="top"/>
    </xf>
    <xf numFmtId="0" fontId="13" fillId="0" borderId="2" xfId="0" applyFont="1" applyBorder="1"/>
    <xf numFmtId="0" fontId="10" fillId="0" borderId="6" xfId="0" applyFont="1" applyBorder="1" applyAlignment="1">
      <alignment vertical="top"/>
    </xf>
    <xf numFmtId="0" fontId="10" fillId="0" borderId="7" xfId="0" applyFont="1" applyBorder="1" applyAlignment="1">
      <alignment horizontal="left" vertical="top" wrapText="1"/>
    </xf>
    <xf numFmtId="0" fontId="10" fillId="0" borderId="3" xfId="0" applyFont="1" applyBorder="1" applyAlignment="1">
      <alignment horizontal="left" vertical="top" wrapText="1"/>
    </xf>
    <xf numFmtId="0" fontId="10" fillId="0" borderId="2" xfId="0" applyFont="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14" fillId="0" borderId="0" xfId="0" applyFont="1" applyAlignment="1">
      <alignment horizontal="left"/>
    </xf>
    <xf numFmtId="0" fontId="14" fillId="0" borderId="5" xfId="0" applyFont="1" applyBorder="1" applyAlignment="1">
      <alignment horizontal="left"/>
    </xf>
    <xf numFmtId="0" fontId="16" fillId="3" borderId="14" xfId="0" applyFont="1" applyFill="1" applyBorder="1" applyAlignment="1">
      <alignment horizontal="center" vertical="center"/>
    </xf>
    <xf numFmtId="0" fontId="16" fillId="3" borderId="10" xfId="0" applyFont="1" applyFill="1" applyBorder="1" applyAlignment="1">
      <alignment horizontal="center" vertical="center"/>
    </xf>
    <xf numFmtId="0" fontId="16" fillId="0" borderId="0" xfId="0" applyFont="1" applyAlignment="1">
      <alignment horizontal="center"/>
    </xf>
    <xf numFmtId="0" fontId="17" fillId="0" borderId="0" xfId="0" applyFont="1" applyAlignment="1">
      <alignment horizontal="center"/>
    </xf>
    <xf numFmtId="0" fontId="17" fillId="0" borderId="5" xfId="0" applyFont="1" applyBorder="1" applyAlignment="1">
      <alignment horizontal="center"/>
    </xf>
    <xf numFmtId="0" fontId="10" fillId="0" borderId="10" xfId="0" applyFont="1" applyBorder="1" applyAlignment="1">
      <alignment horizontal="center" vertical="center" wrapText="1"/>
    </xf>
    <xf numFmtId="0" fontId="10" fillId="4" borderId="10"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vertical="center"/>
    </xf>
    <xf numFmtId="0" fontId="10" fillId="0" borderId="0" xfId="0" applyFont="1" applyAlignment="1">
      <alignment vertical="top"/>
    </xf>
    <xf numFmtId="0" fontId="10" fillId="0" borderId="5" xfId="0" applyFont="1" applyBorder="1" applyAlignment="1">
      <alignment vertical="top"/>
    </xf>
    <xf numFmtId="0" fontId="10" fillId="0" borderId="0" xfId="0" applyFont="1" applyAlignment="1">
      <alignment vertical="center" wrapText="1"/>
    </xf>
    <xf numFmtId="0" fontId="10" fillId="0" borderId="0" xfId="0" applyFont="1" applyAlignment="1">
      <alignment vertical="top" wrapText="1"/>
    </xf>
    <xf numFmtId="0" fontId="10" fillId="0" borderId="5" xfId="0" applyFont="1" applyBorder="1" applyAlignment="1">
      <alignment vertical="top" wrapText="1"/>
    </xf>
    <xf numFmtId="0" fontId="16" fillId="3" borderId="10" xfId="0" applyFont="1" applyFill="1" applyBorder="1" applyAlignment="1">
      <alignment horizontal="center" vertical="top"/>
    </xf>
    <xf numFmtId="0" fontId="16" fillId="3" borderId="10" xfId="0" applyFont="1" applyFill="1" applyBorder="1" applyAlignment="1">
      <alignment horizontal="center" vertical="center" wrapText="1"/>
    </xf>
    <xf numFmtId="0" fontId="16" fillId="0" borderId="0" xfId="0" applyFont="1" applyAlignment="1">
      <alignment horizontal="center" vertical="center" wrapText="1"/>
    </xf>
    <xf numFmtId="0" fontId="7" fillId="0" borderId="15" xfId="0" applyFont="1" applyBorder="1" applyAlignment="1">
      <alignment horizontal="left" vertical="top" wrapText="1"/>
    </xf>
    <xf numFmtId="0" fontId="7" fillId="0" borderId="17" xfId="0" applyFont="1" applyBorder="1" applyAlignment="1">
      <alignment horizontal="left" vertical="top" wrapText="1"/>
    </xf>
    <xf numFmtId="0" fontId="1" fillId="0" borderId="15" xfId="0" applyFont="1" applyBorder="1"/>
    <xf numFmtId="0" fontId="1" fillId="0" borderId="17" xfId="0" applyFont="1" applyBorder="1"/>
    <xf numFmtId="0" fontId="1" fillId="0" borderId="16" xfId="0" applyFont="1" applyBorder="1"/>
    <xf numFmtId="0" fontId="14" fillId="0" borderId="0" xfId="0" applyFont="1"/>
    <xf numFmtId="0" fontId="7" fillId="0" borderId="4" xfId="0" applyFont="1" applyBorder="1" applyAlignment="1">
      <alignment vertical="center"/>
    </xf>
    <xf numFmtId="0" fontId="7" fillId="0" borderId="0" xfId="0" applyFont="1" applyAlignment="1">
      <alignment vertical="center"/>
    </xf>
    <xf numFmtId="0" fontId="1" fillId="0" borderId="5" xfId="0" applyFont="1" applyBorder="1"/>
    <xf numFmtId="0" fontId="16" fillId="3" borderId="10" xfId="0" applyFont="1" applyFill="1" applyBorder="1" applyAlignment="1">
      <alignment horizontal="left" vertical="top"/>
    </xf>
    <xf numFmtId="0" fontId="18" fillId="0" borderId="4" xfId="0" applyFont="1" applyBorder="1" applyAlignment="1">
      <alignment horizontal="center" vertical="center" wrapText="1"/>
    </xf>
    <xf numFmtId="0" fontId="18" fillId="0" borderId="0" xfId="0" applyFont="1" applyAlignment="1">
      <alignment horizontal="center" vertical="center" wrapText="1"/>
    </xf>
    <xf numFmtId="0" fontId="10" fillId="3" borderId="10" xfId="0" quotePrefix="1" applyFont="1" applyFill="1" applyBorder="1" applyAlignment="1">
      <alignment horizontal="center" vertical="center"/>
    </xf>
    <xf numFmtId="0" fontId="10" fillId="3" borderId="10" xfId="0" quotePrefix="1"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 fillId="0" borderId="4" xfId="0" applyFont="1" applyBorder="1" applyAlignment="1">
      <alignment horizontal="center" vertical="center"/>
    </xf>
    <xf numFmtId="0" fontId="10" fillId="3" borderId="10" xfId="0" applyFont="1" applyFill="1" applyBorder="1" applyAlignment="1">
      <alignment horizontal="center" vertical="center"/>
    </xf>
    <xf numFmtId="0" fontId="10" fillId="0" borderId="1" xfId="0" applyFont="1" applyBorder="1" applyAlignment="1">
      <alignment vertical="center"/>
    </xf>
    <xf numFmtId="0" fontId="16" fillId="0" borderId="4" xfId="0" applyFont="1" applyBorder="1" applyAlignment="1">
      <alignment vertical="center" wrapText="1"/>
    </xf>
    <xf numFmtId="0" fontId="15" fillId="0" borderId="0" xfId="0" applyFont="1" applyAlignment="1">
      <alignment vertical="center" wrapText="1"/>
    </xf>
    <xf numFmtId="9" fontId="10" fillId="0" borderId="0" xfId="0" applyNumberFormat="1" applyFont="1" applyAlignment="1">
      <alignment vertical="center" wrapText="1"/>
    </xf>
    <xf numFmtId="9" fontId="16" fillId="0" borderId="0" xfId="0" applyNumberFormat="1" applyFont="1" applyAlignment="1">
      <alignment vertical="center" wrapText="1"/>
    </xf>
    <xf numFmtId="9" fontId="20" fillId="0" borderId="0" xfId="0" applyNumberFormat="1" applyFont="1" applyAlignment="1">
      <alignment vertical="center" wrapText="1"/>
    </xf>
    <xf numFmtId="0" fontId="4"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horizontal="center" vertical="center" wrapText="1"/>
    </xf>
    <xf numFmtId="0" fontId="21" fillId="0" borderId="3" xfId="0" applyFont="1" applyBorder="1" applyAlignment="1">
      <alignment horizontal="left" vertical="center"/>
    </xf>
    <xf numFmtId="0" fontId="22" fillId="0" borderId="3" xfId="0" applyFont="1" applyBorder="1" applyAlignment="1">
      <alignment horizontal="left" vertical="center"/>
    </xf>
    <xf numFmtId="0" fontId="10" fillId="0" borderId="2" xfId="0" applyFont="1" applyBorder="1" applyAlignment="1">
      <alignment vertical="center"/>
    </xf>
    <xf numFmtId="0" fontId="14" fillId="0" borderId="0" xfId="0" applyFont="1" applyAlignment="1">
      <alignment horizontal="left" vertical="center"/>
    </xf>
    <xf numFmtId="0" fontId="10" fillId="0" borderId="5" xfId="0" applyFont="1" applyBorder="1"/>
    <xf numFmtId="9" fontId="16" fillId="3" borderId="10" xfId="0" applyNumberFormat="1" applyFont="1" applyFill="1" applyBorder="1" applyAlignment="1">
      <alignment horizontal="center" vertical="center" wrapText="1"/>
    </xf>
    <xf numFmtId="164" fontId="10" fillId="4" borderId="10" xfId="0" applyNumberFormat="1" applyFont="1" applyFill="1" applyBorder="1" applyAlignment="1">
      <alignment horizontal="center" vertical="center" wrapText="1"/>
    </xf>
    <xf numFmtId="164" fontId="10" fillId="3" borderId="24" xfId="0" applyNumberFormat="1" applyFont="1" applyFill="1" applyBorder="1" applyAlignment="1">
      <alignment horizontal="center" vertical="center" wrapText="1"/>
    </xf>
    <xf numFmtId="165" fontId="10" fillId="3" borderId="25" xfId="0" applyNumberFormat="1" applyFont="1" applyFill="1" applyBorder="1" applyAlignment="1">
      <alignment horizontal="center" vertical="center" wrapText="1"/>
    </xf>
    <xf numFmtId="165" fontId="10" fillId="3" borderId="26" xfId="0" applyNumberFormat="1" applyFont="1" applyFill="1" applyBorder="1" applyAlignment="1">
      <alignment horizontal="center" vertical="center" wrapText="1"/>
    </xf>
    <xf numFmtId="165" fontId="10" fillId="3" borderId="27" xfId="0" applyNumberFormat="1" applyFont="1" applyFill="1" applyBorder="1" applyAlignment="1">
      <alignment horizontal="center" vertical="center" wrapText="1"/>
    </xf>
    <xf numFmtId="164" fontId="10" fillId="0" borderId="10" xfId="0" applyNumberFormat="1" applyFont="1" applyBorder="1" applyAlignment="1">
      <alignment horizontal="center" vertical="center"/>
    </xf>
    <xf numFmtId="164" fontId="10" fillId="3" borderId="10" xfId="0" applyNumberFormat="1" applyFont="1" applyFill="1" applyBorder="1" applyAlignment="1">
      <alignment horizontal="center" vertical="center"/>
    </xf>
    <xf numFmtId="164" fontId="10" fillId="0" borderId="10" xfId="0" applyNumberFormat="1" applyFont="1" applyBorder="1" applyAlignment="1">
      <alignment horizontal="center" vertical="center" wrapText="1"/>
    </xf>
    <xf numFmtId="164" fontId="10" fillId="3" borderId="28" xfId="0" applyNumberFormat="1" applyFont="1" applyFill="1" applyBorder="1" applyAlignment="1">
      <alignment horizontal="center" vertical="center" wrapText="1"/>
    </xf>
    <xf numFmtId="164" fontId="10" fillId="3" borderId="10" xfId="0" applyNumberFormat="1" applyFont="1" applyFill="1" applyBorder="1" applyAlignment="1">
      <alignment horizontal="center" vertical="center" wrapText="1"/>
    </xf>
    <xf numFmtId="164" fontId="16" fillId="3" borderId="10" xfId="0" applyNumberFormat="1" applyFont="1" applyFill="1" applyBorder="1" applyAlignment="1">
      <alignment horizontal="center" vertical="center"/>
    </xf>
    <xf numFmtId="164" fontId="16" fillId="3" borderId="32" xfId="0" applyNumberFormat="1" applyFont="1" applyFill="1" applyBorder="1" applyAlignment="1">
      <alignment horizontal="center" vertical="center"/>
    </xf>
    <xf numFmtId="0" fontId="1" fillId="0" borderId="0" xfId="0" applyFont="1" applyAlignment="1">
      <alignment wrapText="1"/>
    </xf>
    <xf numFmtId="0" fontId="7" fillId="8" borderId="33" xfId="0" applyFont="1" applyFill="1" applyBorder="1" applyAlignment="1">
      <alignment horizontal="center" vertical="top"/>
    </xf>
    <xf numFmtId="0" fontId="7" fillId="8" borderId="34" xfId="0" applyFont="1" applyFill="1" applyBorder="1" applyAlignment="1">
      <alignment vertical="top"/>
    </xf>
    <xf numFmtId="0" fontId="7" fillId="8" borderId="35" xfId="0" applyFont="1" applyFill="1" applyBorder="1" applyAlignment="1">
      <alignment vertical="top"/>
    </xf>
    <xf numFmtId="0" fontId="10" fillId="0" borderId="10" xfId="0" applyFont="1" applyBorder="1" applyAlignment="1">
      <alignment horizontal="center" vertical="top" wrapText="1"/>
    </xf>
    <xf numFmtId="9" fontId="10" fillId="0" borderId="10" xfId="0" applyNumberFormat="1" applyFont="1" applyBorder="1" applyAlignment="1">
      <alignment horizontal="center" vertical="center" wrapText="1"/>
    </xf>
    <xf numFmtId="0" fontId="13" fillId="2" borderId="10" xfId="0" applyFont="1" applyFill="1" applyBorder="1" applyAlignment="1">
      <alignment horizontal="center" vertical="top"/>
    </xf>
    <xf numFmtId="9" fontId="7" fillId="2" borderId="10" xfId="0" applyNumberFormat="1" applyFont="1" applyFill="1" applyBorder="1" applyAlignment="1">
      <alignment horizontal="center" vertical="top"/>
    </xf>
    <xf numFmtId="0" fontId="8" fillId="0" borderId="10" xfId="0" applyFont="1" applyBorder="1" applyAlignment="1">
      <alignment horizontal="center" vertical="top"/>
    </xf>
    <xf numFmtId="0" fontId="13" fillId="2" borderId="10" xfId="0" applyFont="1" applyFill="1" applyBorder="1" applyAlignment="1">
      <alignment horizontal="center" vertical="center"/>
    </xf>
    <xf numFmtId="9" fontId="7" fillId="2" borderId="46" xfId="0" applyNumberFormat="1" applyFont="1" applyFill="1" applyBorder="1" applyAlignment="1">
      <alignment horizontal="center" vertical="center"/>
    </xf>
    <xf numFmtId="9" fontId="7" fillId="2" borderId="10" xfId="0" applyNumberFormat="1" applyFont="1" applyFill="1" applyBorder="1" applyAlignment="1">
      <alignment horizontal="center" vertical="center"/>
    </xf>
    <xf numFmtId="0" fontId="7" fillId="0" borderId="0" xfId="0" applyFont="1"/>
    <xf numFmtId="0" fontId="7" fillId="0" borderId="0" xfId="0" applyFont="1" applyAlignment="1">
      <alignment horizontal="center"/>
    </xf>
    <xf numFmtId="2" fontId="10" fillId="0" borderId="0" xfId="0" applyNumberFormat="1" applyFont="1"/>
    <xf numFmtId="0" fontId="7" fillId="0" borderId="0" xfId="0" applyFont="1" applyAlignment="1">
      <alignment horizontal="left"/>
    </xf>
    <xf numFmtId="0" fontId="1" fillId="0" borderId="11" xfId="0" applyFont="1" applyBorder="1" applyAlignment="1">
      <alignment horizontal="center" vertical="top"/>
    </xf>
    <xf numFmtId="0" fontId="1" fillId="0" borderId="37" xfId="0" applyFont="1" applyBorder="1" applyAlignment="1">
      <alignment horizontal="center" vertical="top"/>
    </xf>
    <xf numFmtId="0" fontId="1" fillId="0" borderId="13" xfId="0" applyFont="1" applyBorder="1" applyAlignment="1">
      <alignment horizontal="center" vertical="top"/>
    </xf>
    <xf numFmtId="0" fontId="7" fillId="0" borderId="1" xfId="0" applyFont="1" applyBorder="1" applyAlignment="1">
      <alignment horizontal="left" vertical="top" wrapText="1"/>
    </xf>
    <xf numFmtId="0" fontId="2" fillId="0" borderId="3" xfId="0" applyFont="1" applyBorder="1"/>
    <xf numFmtId="0" fontId="2" fillId="0" borderId="2" xfId="0" applyFont="1" applyBorder="1"/>
    <xf numFmtId="0" fontId="2" fillId="0" borderId="4" xfId="0" applyFont="1" applyBorder="1"/>
    <xf numFmtId="0" fontId="0" fillId="0" borderId="0" xfId="0"/>
    <xf numFmtId="0" fontId="2" fillId="0" borderId="5" xfId="0" applyFont="1" applyBorder="1"/>
    <xf numFmtId="0" fontId="15" fillId="3" borderId="11" xfId="0" applyFont="1" applyFill="1" applyBorder="1" applyAlignment="1">
      <alignment horizontal="center" vertical="center"/>
    </xf>
    <xf numFmtId="0" fontId="2" fillId="0" borderId="13" xfId="0" applyFont="1" applyBorder="1"/>
    <xf numFmtId="0" fontId="2" fillId="0" borderId="15" xfId="0" applyFont="1" applyBorder="1"/>
    <xf numFmtId="0" fontId="2" fillId="0" borderId="17" xfId="0" applyFont="1" applyBorder="1"/>
    <xf numFmtId="0" fontId="2" fillId="0" borderId="16" xfId="0" applyFont="1" applyBorder="1"/>
    <xf numFmtId="0" fontId="16" fillId="3" borderId="1" xfId="0" applyFont="1" applyFill="1" applyBorder="1" applyAlignment="1">
      <alignment horizontal="center" vertical="center"/>
    </xf>
    <xf numFmtId="0" fontId="10" fillId="3" borderId="6" xfId="0" applyFont="1" applyFill="1" applyBorder="1" applyAlignment="1">
      <alignment horizontal="left" vertical="center"/>
    </xf>
    <xf numFmtId="0" fontId="2" fillId="0" borderId="8" xfId="0" applyFont="1" applyBorder="1"/>
    <xf numFmtId="0" fontId="16" fillId="2" borderId="6" xfId="0" applyFont="1" applyFill="1" applyBorder="1" applyAlignment="1">
      <alignment horizontal="left" vertical="center"/>
    </xf>
    <xf numFmtId="0" fontId="2" fillId="0" borderId="9" xfId="0" applyFont="1" applyBorder="1"/>
    <xf numFmtId="0" fontId="16" fillId="4" borderId="6" xfId="0" applyFont="1" applyFill="1" applyBorder="1" applyAlignment="1">
      <alignment vertical="center"/>
    </xf>
    <xf numFmtId="0" fontId="2" fillId="0" borderId="7" xfId="0" applyFont="1" applyBorder="1"/>
    <xf numFmtId="0" fontId="10" fillId="0" borderId="6" xfId="0" applyFont="1" applyBorder="1" applyAlignment="1">
      <alignment vertical="center"/>
    </xf>
    <xf numFmtId="0" fontId="7" fillId="0" borderId="1" xfId="0" applyFont="1" applyBorder="1" applyAlignment="1">
      <alignment horizontal="left" vertical="top"/>
    </xf>
    <xf numFmtId="0" fontId="7" fillId="2" borderId="11" xfId="0" applyFont="1" applyFill="1" applyBorder="1" applyAlignment="1">
      <alignment horizontal="center" vertical="center" wrapText="1"/>
    </xf>
    <xf numFmtId="0" fontId="2" fillId="0" borderId="37" xfId="0" applyFont="1" applyBorder="1"/>
    <xf numFmtId="0" fontId="7" fillId="2" borderId="1" xfId="0" applyFont="1" applyFill="1" applyBorder="1" applyAlignment="1">
      <alignment horizontal="center" vertical="center" wrapText="1"/>
    </xf>
    <xf numFmtId="0" fontId="2" fillId="0" borderId="36" xfId="0" applyFont="1" applyBorder="1"/>
    <xf numFmtId="0" fontId="2" fillId="0" borderId="38" xfId="0" applyFont="1" applyBorder="1"/>
    <xf numFmtId="0" fontId="2" fillId="0" borderId="39" xfId="0" applyFont="1" applyBorder="1"/>
    <xf numFmtId="0" fontId="10" fillId="0" borderId="6" xfId="0" applyFont="1" applyBorder="1" applyAlignment="1">
      <alignment horizontal="left" vertical="top" wrapText="1"/>
    </xf>
    <xf numFmtId="0" fontId="7" fillId="2" borderId="6" xfId="0" applyFont="1" applyFill="1" applyBorder="1" applyAlignment="1">
      <alignment horizontal="center" vertical="center"/>
    </xf>
    <xf numFmtId="0" fontId="9" fillId="0" borderId="1" xfId="0" applyFont="1" applyBorder="1" applyAlignment="1">
      <alignment horizontal="center" vertical="top" wrapText="1"/>
    </xf>
    <xf numFmtId="0" fontId="7" fillId="2" borderId="12" xfId="0" applyFont="1" applyFill="1" applyBorder="1" applyAlignment="1">
      <alignment horizontal="center" vertical="center"/>
    </xf>
    <xf numFmtId="0" fontId="11" fillId="0" borderId="1" xfId="0" applyFont="1" applyBorder="1" applyAlignment="1">
      <alignment horizontal="center" wrapText="1"/>
    </xf>
    <xf numFmtId="0" fontId="8" fillId="0" borderId="1" xfId="0" applyFont="1" applyBorder="1" applyAlignment="1">
      <alignment horizontal="center" vertical="top"/>
    </xf>
    <xf numFmtId="15" fontId="8" fillId="0" borderId="1" xfId="0" applyNumberFormat="1" applyFont="1" applyBorder="1" applyAlignment="1">
      <alignment horizontal="center" vertical="top"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4" xfId="0" applyFont="1" applyBorder="1" applyAlignment="1">
      <alignment horizontal="center" vertical="center"/>
    </xf>
    <xf numFmtId="0" fontId="6" fillId="0" borderId="6" xfId="0" applyFont="1" applyBorder="1" applyAlignment="1">
      <alignment horizontal="center" vertical="center"/>
    </xf>
    <xf numFmtId="0" fontId="8" fillId="0" borderId="1" xfId="0" applyFont="1" applyBorder="1" applyAlignment="1">
      <alignment horizontal="center" vertical="top" wrapText="1"/>
    </xf>
    <xf numFmtId="0" fontId="7" fillId="0" borderId="6" xfId="0" applyFont="1" applyBorder="1" applyAlignment="1">
      <alignment horizontal="left" vertical="top"/>
    </xf>
    <xf numFmtId="0" fontId="8" fillId="0" borderId="1" xfId="0" applyFont="1" applyBorder="1" applyAlignment="1">
      <alignment horizontal="left" vertical="top" wrapText="1"/>
    </xf>
    <xf numFmtId="0" fontId="7" fillId="2" borderId="6" xfId="0" applyFont="1" applyFill="1" applyBorder="1" applyAlignment="1">
      <alignment horizontal="left" vertical="top"/>
    </xf>
    <xf numFmtId="0" fontId="8" fillId="0" borderId="6" xfId="0" applyFont="1" applyBorder="1" applyAlignment="1">
      <alignment horizontal="center" vertical="top" wrapText="1"/>
    </xf>
    <xf numFmtId="0" fontId="12" fillId="2" borderId="6" xfId="0" applyFont="1" applyFill="1" applyBorder="1" applyAlignment="1">
      <alignment horizontal="left" vertical="top"/>
    </xf>
    <xf numFmtId="0" fontId="8" fillId="0" borderId="7" xfId="0" applyFont="1" applyBorder="1" applyAlignment="1">
      <alignment horizontal="left" vertical="top" wrapText="1"/>
    </xf>
    <xf numFmtId="0" fontId="14" fillId="0" borderId="4" xfId="0" applyFont="1" applyBorder="1" applyAlignment="1">
      <alignment horizontal="left" vertical="center"/>
    </xf>
    <xf numFmtId="0" fontId="16" fillId="3" borderId="6" xfId="0" applyFont="1" applyFill="1" applyBorder="1" applyAlignment="1">
      <alignment horizontal="center" vertical="center"/>
    </xf>
    <xf numFmtId="0" fontId="10" fillId="0" borderId="6" xfId="0" applyFont="1" applyBorder="1" applyAlignment="1">
      <alignment horizontal="center" vertical="top" wrapText="1"/>
    </xf>
    <xf numFmtId="0" fontId="16" fillId="3" borderId="6" xfId="0" applyFont="1" applyFill="1" applyBorder="1" applyAlignment="1">
      <alignment horizontal="center" vertical="top" wrapText="1"/>
    </xf>
    <xf numFmtId="0" fontId="7" fillId="2" borderId="6" xfId="0" applyFont="1" applyFill="1" applyBorder="1" applyAlignment="1">
      <alignment horizontal="left" vertical="top" wrapText="1"/>
    </xf>
    <xf numFmtId="49" fontId="10" fillId="0" borderId="6" xfId="0" applyNumberFormat="1" applyFont="1" applyBorder="1" applyAlignment="1">
      <alignment horizontal="left" vertical="center"/>
    </xf>
    <xf numFmtId="49" fontId="10" fillId="0" borderId="1" xfId="0" applyNumberFormat="1" applyFont="1" applyBorder="1" applyAlignment="1">
      <alignment horizontal="left" vertical="center"/>
    </xf>
    <xf numFmtId="0" fontId="10" fillId="0" borderId="1" xfId="0" applyFont="1" applyBorder="1" applyAlignment="1">
      <alignment horizontal="left" vertical="center"/>
    </xf>
    <xf numFmtId="0" fontId="7" fillId="2" borderId="18" xfId="0" applyFont="1" applyFill="1" applyBorder="1" applyAlignment="1">
      <alignment horizontal="left" vertical="center"/>
    </xf>
    <xf numFmtId="0" fontId="2" fillId="0" borderId="19" xfId="0" applyFont="1" applyBorder="1"/>
    <xf numFmtId="0" fontId="2" fillId="0" borderId="20" xfId="0" applyFont="1" applyBorder="1"/>
    <xf numFmtId="0" fontId="10" fillId="0" borderId="4" xfId="0" applyFont="1" applyBorder="1" applyAlignment="1">
      <alignment horizontal="left" vertical="center"/>
    </xf>
    <xf numFmtId="0" fontId="16" fillId="6" borderId="6" xfId="0" applyFont="1" applyFill="1" applyBorder="1" applyAlignment="1">
      <alignment horizontal="left" vertical="center"/>
    </xf>
    <xf numFmtId="0" fontId="19" fillId="4" borderId="21" xfId="0" applyFont="1" applyFill="1" applyBorder="1"/>
    <xf numFmtId="0" fontId="2" fillId="0" borderId="22" xfId="0" applyFont="1" applyBorder="1"/>
    <xf numFmtId="0" fontId="2" fillId="0" borderId="23" xfId="0" applyFont="1" applyBorder="1"/>
    <xf numFmtId="0" fontId="7" fillId="2" borderId="6" xfId="0" applyFont="1" applyFill="1" applyBorder="1" applyAlignment="1">
      <alignment horizontal="left" vertical="center"/>
    </xf>
    <xf numFmtId="0" fontId="16" fillId="3"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6" xfId="0" applyFont="1" applyFill="1" applyBorder="1" applyAlignment="1">
      <alignment horizontal="center"/>
    </xf>
    <xf numFmtId="2" fontId="8" fillId="0" borderId="17" xfId="0" applyNumberFormat="1" applyFont="1" applyBorder="1" applyAlignment="1">
      <alignment horizontal="center"/>
    </xf>
    <xf numFmtId="165" fontId="10" fillId="3" borderId="29" xfId="0" applyNumberFormat="1" applyFont="1" applyFill="1" applyBorder="1" applyAlignment="1">
      <alignment horizontal="center" vertical="center" wrapText="1"/>
    </xf>
    <xf numFmtId="0" fontId="2" fillId="0" borderId="30" xfId="0" applyFont="1" applyBorder="1"/>
    <xf numFmtId="0" fontId="2" fillId="0" borderId="31" xfId="0" applyFont="1" applyBorder="1"/>
    <xf numFmtId="0" fontId="10" fillId="0" borderId="6" xfId="0" applyFont="1" applyBorder="1" applyAlignment="1">
      <alignment horizontal="center" vertical="center" wrapText="1"/>
    </xf>
    <xf numFmtId="0" fontId="12" fillId="2" borderId="44" xfId="0" applyFont="1" applyFill="1" applyBorder="1" applyAlignment="1">
      <alignment horizontal="center" vertical="center" wrapText="1"/>
    </xf>
    <xf numFmtId="0" fontId="2" fillId="0" borderId="45" xfId="0" applyFont="1" applyBorder="1"/>
    <xf numFmtId="0" fontId="23" fillId="0" borderId="6" xfId="0" applyFont="1" applyBorder="1" applyAlignment="1">
      <alignment horizontal="left" vertical="top" wrapText="1"/>
    </xf>
    <xf numFmtId="0" fontId="12" fillId="2" borderId="6" xfId="0" applyFont="1" applyFill="1" applyBorder="1" applyAlignment="1">
      <alignment horizontal="center" vertical="center" wrapText="1"/>
    </xf>
    <xf numFmtId="0" fontId="10" fillId="0" borderId="3" xfId="0" applyFont="1" applyBorder="1" applyAlignment="1">
      <alignment vertical="top" wrapText="1"/>
    </xf>
    <xf numFmtId="0" fontId="10" fillId="0" borderId="0" xfId="0" applyFont="1" applyAlignment="1">
      <alignment vertical="top" wrapText="1"/>
    </xf>
    <xf numFmtId="0" fontId="10" fillId="0" borderId="0" xfId="0" applyFont="1" applyAlignment="1">
      <alignment horizontal="left" vertical="top" wrapText="1"/>
    </xf>
    <xf numFmtId="20" fontId="10" fillId="0" borderId="0" xfId="0" applyNumberFormat="1" applyFont="1" applyAlignment="1">
      <alignment horizontal="left" vertical="top" wrapText="1"/>
    </xf>
    <xf numFmtId="0" fontId="10" fillId="0" borderId="17" xfId="0" applyFont="1" applyBorder="1" applyAlignment="1">
      <alignment horizontal="left" vertical="top" wrapText="1"/>
    </xf>
    <xf numFmtId="0" fontId="10" fillId="0" borderId="4" xfId="0" applyFont="1" applyBorder="1" applyAlignment="1">
      <alignment horizontal="left" vertical="top" wrapText="1"/>
    </xf>
    <xf numFmtId="0" fontId="16" fillId="3" borderId="1" xfId="0" applyFont="1" applyFill="1" applyBorder="1" applyAlignment="1">
      <alignment horizontal="center" vertical="center" wrapText="1"/>
    </xf>
    <xf numFmtId="1" fontId="16" fillId="4" borderId="6" xfId="0" applyNumberFormat="1" applyFont="1" applyFill="1" applyBorder="1" applyAlignment="1">
      <alignment vertical="center" wrapText="1"/>
    </xf>
    <xf numFmtId="0" fontId="16" fillId="7" borderId="6" xfId="0" applyFont="1" applyFill="1" applyBorder="1" applyAlignment="1">
      <alignment horizontal="center" vertical="center"/>
    </xf>
    <xf numFmtId="0" fontId="16" fillId="3" borderId="12" xfId="0" applyFont="1" applyFill="1" applyBorder="1" applyAlignment="1">
      <alignment horizontal="right" vertical="center"/>
    </xf>
    <xf numFmtId="0" fontId="16" fillId="3" borderId="6" xfId="0" applyFont="1" applyFill="1" applyBorder="1" applyAlignment="1">
      <alignment horizontal="right" vertical="center"/>
    </xf>
    <xf numFmtId="2" fontId="10" fillId="4" borderId="6" xfId="0" applyNumberFormat="1" applyFont="1" applyFill="1" applyBorder="1" applyAlignment="1">
      <alignment horizontal="center" vertical="center" wrapText="1"/>
    </xf>
    <xf numFmtId="2" fontId="10" fillId="3" borderId="6" xfId="0" applyNumberFormat="1" applyFont="1" applyFill="1" applyBorder="1" applyAlignment="1">
      <alignment horizontal="center" vertical="center" wrapText="1"/>
    </xf>
    <xf numFmtId="2" fontId="10" fillId="0" borderId="6" xfId="0" applyNumberFormat="1" applyFont="1" applyBorder="1" applyAlignment="1">
      <alignment horizontal="center" vertical="center" wrapText="1"/>
    </xf>
    <xf numFmtId="165" fontId="10" fillId="3" borderId="6" xfId="0" applyNumberFormat="1" applyFont="1" applyFill="1" applyBorder="1" applyAlignment="1">
      <alignment horizontal="center" vertical="center" wrapText="1"/>
    </xf>
    <xf numFmtId="2" fontId="16" fillId="3" borderId="6" xfId="0" applyNumberFormat="1" applyFont="1" applyFill="1" applyBorder="1" applyAlignment="1">
      <alignment horizontal="center" vertical="center"/>
    </xf>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10" fillId="0" borderId="6" xfId="0" applyFont="1" applyBorder="1" applyAlignment="1">
      <alignment horizontal="left" vertical="center" wrapText="1"/>
    </xf>
    <xf numFmtId="1" fontId="16" fillId="7" borderId="6" xfId="0" applyNumberFormat="1" applyFont="1" applyFill="1" applyBorder="1" applyAlignment="1">
      <alignment horizontal="center" vertical="center"/>
    </xf>
    <xf numFmtId="0" fontId="19" fillId="0" borderId="6" xfId="0" applyFont="1" applyBorder="1" applyAlignment="1">
      <alignment horizontal="center"/>
    </xf>
    <xf numFmtId="0" fontId="7" fillId="8" borderId="6" xfId="0" applyFont="1" applyFill="1" applyBorder="1" applyAlignment="1">
      <alignment horizontal="left" vertical="center" wrapText="1"/>
    </xf>
    <xf numFmtId="0" fontId="7" fillId="2" borderId="6" xfId="0" applyFont="1" applyFill="1" applyBorder="1" applyAlignment="1">
      <alignment horizontal="center" vertical="center" wrapText="1"/>
    </xf>
    <xf numFmtId="0" fontId="31" fillId="0" borderId="1" xfId="0" applyFont="1" applyBorder="1" applyAlignment="1">
      <alignment horizontal="center" wrapText="1"/>
    </xf>
    <xf numFmtId="0" fontId="30" fillId="0" borderId="1" xfId="0" applyFont="1" applyBorder="1" applyAlignment="1">
      <alignment horizontal="center" wrapText="1"/>
    </xf>
    <xf numFmtId="0" fontId="32" fillId="0" borderId="3" xfId="0" applyFont="1" applyBorder="1"/>
    <xf numFmtId="0" fontId="32" fillId="0" borderId="2" xfId="0" applyFont="1" applyBorder="1"/>
    <xf numFmtId="0" fontId="33"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38100</xdr:rowOff>
    </xdr:from>
    <xdr:ext cx="857250" cy="8572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994"/>
  <sheetViews>
    <sheetView tabSelected="1" workbookViewId="0">
      <selection activeCell="D10" sqref="D10:T10"/>
    </sheetView>
  </sheetViews>
  <sheetFormatPr defaultColWidth="14.44140625" defaultRowHeight="15" customHeight="1"/>
  <cols>
    <col min="1" max="3" width="8.6640625" customWidth="1"/>
    <col min="4" max="4" width="15.6640625" customWidth="1"/>
    <col min="5" max="10" width="8.6640625" customWidth="1"/>
    <col min="11" max="13" width="10.6640625" customWidth="1"/>
    <col min="14" max="14" width="13.44140625" customWidth="1"/>
    <col min="15" max="20" width="8.6640625" customWidth="1"/>
    <col min="21" max="27" width="10.6640625" customWidth="1"/>
  </cols>
  <sheetData>
    <row r="1" spans="1:27" ht="24.75" customHeight="1">
      <c r="A1" s="137"/>
      <c r="B1" s="106"/>
      <c r="C1" s="138" t="s">
        <v>0</v>
      </c>
      <c r="D1" s="105"/>
      <c r="E1" s="105"/>
      <c r="F1" s="105"/>
      <c r="G1" s="105"/>
      <c r="H1" s="105"/>
      <c r="I1" s="105"/>
      <c r="J1" s="105"/>
      <c r="K1" s="105"/>
      <c r="L1" s="105"/>
      <c r="M1" s="105"/>
      <c r="N1" s="105"/>
      <c r="O1" s="105"/>
      <c r="P1" s="105"/>
      <c r="Q1" s="106"/>
      <c r="R1" s="139" t="s">
        <v>1</v>
      </c>
      <c r="S1" s="105"/>
      <c r="T1" s="106"/>
      <c r="U1" s="1"/>
      <c r="V1" s="1"/>
      <c r="W1" s="1"/>
      <c r="X1" s="1"/>
      <c r="Y1" s="1"/>
      <c r="Z1" s="1"/>
      <c r="AA1" s="1"/>
    </row>
    <row r="2" spans="1:27" ht="24.75" customHeight="1">
      <c r="A2" s="107"/>
      <c r="B2" s="109"/>
      <c r="C2" s="140" t="s">
        <v>2</v>
      </c>
      <c r="D2" s="108"/>
      <c r="E2" s="108"/>
      <c r="F2" s="108"/>
      <c r="G2" s="108"/>
      <c r="H2" s="108"/>
      <c r="I2" s="108"/>
      <c r="J2" s="108"/>
      <c r="K2" s="108"/>
      <c r="L2" s="108"/>
      <c r="M2" s="108"/>
      <c r="N2" s="108"/>
      <c r="O2" s="108"/>
      <c r="P2" s="108"/>
      <c r="Q2" s="109"/>
      <c r="R2" s="107"/>
      <c r="S2" s="108"/>
      <c r="T2" s="109"/>
      <c r="U2" s="1"/>
      <c r="V2" s="1"/>
      <c r="W2" s="1"/>
      <c r="X2" s="1"/>
      <c r="Y2" s="1"/>
      <c r="Z2" s="1"/>
      <c r="AA2" s="1"/>
    </row>
    <row r="3" spans="1:27" ht="24.75" customHeight="1">
      <c r="A3" s="107"/>
      <c r="B3" s="109"/>
      <c r="C3" s="140" t="s">
        <v>3</v>
      </c>
      <c r="D3" s="108"/>
      <c r="E3" s="108"/>
      <c r="F3" s="108"/>
      <c r="G3" s="108"/>
      <c r="H3" s="108"/>
      <c r="I3" s="108"/>
      <c r="J3" s="108"/>
      <c r="K3" s="108"/>
      <c r="L3" s="108"/>
      <c r="M3" s="108"/>
      <c r="N3" s="108"/>
      <c r="O3" s="108"/>
      <c r="P3" s="108"/>
      <c r="Q3" s="109"/>
      <c r="R3" s="107"/>
      <c r="S3" s="108"/>
      <c r="T3" s="109"/>
      <c r="U3" s="1"/>
      <c r="V3" s="1"/>
      <c r="W3" s="1"/>
      <c r="X3" s="1"/>
      <c r="Y3" s="1"/>
      <c r="Z3" s="1"/>
      <c r="AA3" s="1"/>
    </row>
    <row r="4" spans="1:27" ht="19.5" customHeight="1">
      <c r="A4" s="141" t="s">
        <v>4</v>
      </c>
      <c r="B4" s="121"/>
      <c r="C4" s="121"/>
      <c r="D4" s="121"/>
      <c r="E4" s="121"/>
      <c r="F4" s="121"/>
      <c r="G4" s="121"/>
      <c r="H4" s="121"/>
      <c r="I4" s="121"/>
      <c r="J4" s="121"/>
      <c r="K4" s="121"/>
      <c r="L4" s="121"/>
      <c r="M4" s="121"/>
      <c r="N4" s="121"/>
      <c r="O4" s="121"/>
      <c r="P4" s="121"/>
      <c r="Q4" s="121"/>
      <c r="R4" s="121"/>
      <c r="S4" s="121"/>
      <c r="T4" s="117"/>
      <c r="U4" s="1"/>
      <c r="V4" s="1"/>
      <c r="W4" s="1"/>
      <c r="X4" s="1"/>
      <c r="Y4" s="1"/>
      <c r="Z4" s="1"/>
      <c r="AA4" s="1"/>
    </row>
    <row r="5" spans="1:27" ht="14.25" customHeight="1">
      <c r="A5" s="131" t="s">
        <v>5</v>
      </c>
      <c r="B5" s="121"/>
      <c r="C5" s="119"/>
      <c r="D5" s="2" t="s">
        <v>6</v>
      </c>
      <c r="E5" s="131" t="s">
        <v>7</v>
      </c>
      <c r="F5" s="117"/>
      <c r="G5" s="131" t="s">
        <v>8</v>
      </c>
      <c r="H5" s="121"/>
      <c r="I5" s="117"/>
      <c r="J5" s="131" t="s">
        <v>9</v>
      </c>
      <c r="K5" s="121"/>
      <c r="L5" s="117"/>
      <c r="M5" s="131" t="s">
        <v>10</v>
      </c>
      <c r="N5" s="117"/>
      <c r="O5" s="131" t="s">
        <v>11</v>
      </c>
      <c r="P5" s="121"/>
      <c r="Q5" s="117"/>
      <c r="R5" s="131" t="s">
        <v>12</v>
      </c>
      <c r="S5" s="121"/>
      <c r="T5" s="117"/>
      <c r="U5" s="3"/>
      <c r="V5" s="3"/>
      <c r="W5" s="3"/>
      <c r="X5" s="3"/>
      <c r="Y5" s="3"/>
      <c r="Z5" s="3"/>
      <c r="AA5" s="3"/>
    </row>
    <row r="6" spans="1:27" ht="42" customHeight="1">
      <c r="A6" s="142" t="s">
        <v>13</v>
      </c>
      <c r="B6" s="105"/>
      <c r="C6" s="105"/>
      <c r="D6" s="4" t="s">
        <v>14</v>
      </c>
      <c r="E6" s="142" t="s">
        <v>15</v>
      </c>
      <c r="F6" s="106"/>
      <c r="G6" s="142" t="s">
        <v>16</v>
      </c>
      <c r="H6" s="105"/>
      <c r="I6" s="106"/>
      <c r="J6" s="132" t="s">
        <v>17</v>
      </c>
      <c r="K6" s="105"/>
      <c r="L6" s="106"/>
      <c r="M6" s="4" t="s">
        <v>18</v>
      </c>
      <c r="N6" s="4" t="s">
        <v>19</v>
      </c>
      <c r="O6" s="135">
        <v>2</v>
      </c>
      <c r="P6" s="105"/>
      <c r="Q6" s="106"/>
      <c r="R6" s="136" t="s">
        <v>204</v>
      </c>
      <c r="S6" s="105"/>
      <c r="T6" s="106"/>
      <c r="U6" s="5"/>
      <c r="V6" s="5"/>
      <c r="W6" s="5"/>
      <c r="X6" s="5"/>
      <c r="Y6" s="5"/>
      <c r="Z6" s="5"/>
      <c r="AA6" s="5"/>
    </row>
    <row r="7" spans="1:27" ht="14.25" customHeight="1">
      <c r="A7" s="123" t="s">
        <v>20</v>
      </c>
      <c r="B7" s="105"/>
      <c r="C7" s="105"/>
      <c r="D7" s="131" t="s">
        <v>21</v>
      </c>
      <c r="E7" s="121"/>
      <c r="F7" s="121"/>
      <c r="G7" s="121"/>
      <c r="H7" s="121"/>
      <c r="I7" s="119"/>
      <c r="J7" s="133" t="s">
        <v>22</v>
      </c>
      <c r="K7" s="121"/>
      <c r="L7" s="121"/>
      <c r="M7" s="121"/>
      <c r="N7" s="117"/>
      <c r="O7" s="131" t="s">
        <v>23</v>
      </c>
      <c r="P7" s="121"/>
      <c r="Q7" s="121"/>
      <c r="R7" s="121"/>
      <c r="S7" s="121"/>
      <c r="T7" s="117"/>
      <c r="U7" s="6"/>
      <c r="V7" s="6"/>
      <c r="W7" s="6"/>
      <c r="X7" s="6"/>
      <c r="Y7" s="6"/>
      <c r="Z7" s="6"/>
      <c r="AA7" s="6"/>
    </row>
    <row r="8" spans="1:27" ht="79.5" customHeight="1">
      <c r="A8" s="107"/>
      <c r="B8" s="108"/>
      <c r="C8" s="108"/>
      <c r="D8" s="204" t="s">
        <v>205</v>
      </c>
      <c r="E8" s="105"/>
      <c r="F8" s="105"/>
      <c r="G8" s="105"/>
      <c r="H8" s="105"/>
      <c r="I8" s="106"/>
      <c r="J8" s="205" t="s">
        <v>206</v>
      </c>
      <c r="K8" s="206"/>
      <c r="L8" s="206"/>
      <c r="M8" s="206"/>
      <c r="N8" s="207"/>
      <c r="O8" s="134" t="s">
        <v>24</v>
      </c>
      <c r="P8" s="105"/>
      <c r="Q8" s="105"/>
      <c r="R8" s="105"/>
      <c r="S8" s="105"/>
      <c r="T8" s="106"/>
      <c r="U8" s="7"/>
      <c r="V8" s="7"/>
      <c r="W8" s="7"/>
      <c r="X8" s="7"/>
      <c r="Y8" s="7"/>
      <c r="Z8" s="7"/>
      <c r="AA8" s="7"/>
    </row>
    <row r="9" spans="1:27" ht="30" customHeight="1">
      <c r="A9" s="143" t="s">
        <v>25</v>
      </c>
      <c r="B9" s="121"/>
      <c r="C9" s="117"/>
      <c r="D9" s="208" t="s">
        <v>207</v>
      </c>
      <c r="E9" s="121"/>
      <c r="F9" s="121"/>
      <c r="G9" s="121"/>
      <c r="H9" s="121"/>
      <c r="I9" s="121"/>
      <c r="J9" s="121"/>
      <c r="K9" s="121"/>
      <c r="L9" s="121"/>
      <c r="M9" s="121"/>
      <c r="N9" s="121"/>
      <c r="O9" s="121"/>
      <c r="P9" s="121"/>
      <c r="Q9" s="121"/>
      <c r="R9" s="121"/>
      <c r="S9" s="121"/>
      <c r="T9" s="117"/>
      <c r="U9" s="6"/>
      <c r="V9" s="6"/>
      <c r="W9" s="6"/>
      <c r="X9" s="6"/>
      <c r="Y9" s="6"/>
      <c r="Z9" s="6"/>
      <c r="AA9" s="6"/>
    </row>
    <row r="10" spans="1:27" ht="69.75" customHeight="1">
      <c r="A10" s="104" t="s">
        <v>26</v>
      </c>
      <c r="B10" s="105"/>
      <c r="C10" s="106"/>
      <c r="D10" s="144" t="s">
        <v>27</v>
      </c>
      <c r="E10" s="105"/>
      <c r="F10" s="105"/>
      <c r="G10" s="105"/>
      <c r="H10" s="105"/>
      <c r="I10" s="105"/>
      <c r="J10" s="105"/>
      <c r="K10" s="105"/>
      <c r="L10" s="105"/>
      <c r="M10" s="105"/>
      <c r="N10" s="105"/>
      <c r="O10" s="105"/>
      <c r="P10" s="105"/>
      <c r="Q10" s="105"/>
      <c r="R10" s="105"/>
      <c r="S10" s="105"/>
      <c r="T10" s="106"/>
      <c r="U10" s="6"/>
      <c r="V10" s="6"/>
      <c r="W10" s="6"/>
      <c r="X10" s="6"/>
      <c r="Y10" s="6"/>
      <c r="Z10" s="6"/>
      <c r="AA10" s="6"/>
    </row>
    <row r="11" spans="1:27" ht="15" customHeight="1">
      <c r="A11" s="104" t="s">
        <v>28</v>
      </c>
      <c r="B11" s="105"/>
      <c r="C11" s="106"/>
      <c r="D11" s="145" t="s">
        <v>29</v>
      </c>
      <c r="E11" s="121"/>
      <c r="F11" s="121"/>
      <c r="G11" s="121"/>
      <c r="H11" s="121"/>
      <c r="I11" s="121"/>
      <c r="J11" s="121"/>
      <c r="K11" s="121"/>
      <c r="L11" s="121"/>
      <c r="M11" s="121"/>
      <c r="N11" s="121"/>
      <c r="O11" s="121"/>
      <c r="P11" s="121"/>
      <c r="Q11" s="121"/>
      <c r="R11" s="121"/>
      <c r="S11" s="121"/>
      <c r="T11" s="117"/>
      <c r="U11" s="6"/>
      <c r="V11" s="6"/>
      <c r="W11" s="6"/>
      <c r="X11" s="6"/>
      <c r="Y11" s="6"/>
      <c r="Z11" s="6"/>
      <c r="AA11" s="6"/>
    </row>
    <row r="12" spans="1:27" ht="30.75" customHeight="1">
      <c r="A12" s="107"/>
      <c r="B12" s="108"/>
      <c r="C12" s="109"/>
      <c r="D12" s="8" t="s">
        <v>30</v>
      </c>
      <c r="E12" s="144" t="s">
        <v>31</v>
      </c>
      <c r="F12" s="105"/>
      <c r="G12" s="105"/>
      <c r="H12" s="105"/>
      <c r="I12" s="105"/>
      <c r="J12" s="105"/>
      <c r="K12" s="105"/>
      <c r="L12" s="105"/>
      <c r="M12" s="105"/>
      <c r="N12" s="105"/>
      <c r="O12" s="105"/>
      <c r="P12" s="105"/>
      <c r="Q12" s="105"/>
      <c r="R12" s="105"/>
      <c r="S12" s="105"/>
      <c r="T12" s="106"/>
      <c r="U12" s="6"/>
      <c r="V12" s="6"/>
      <c r="W12" s="6"/>
      <c r="X12" s="6"/>
      <c r="Y12" s="6"/>
      <c r="Z12" s="6"/>
      <c r="AA12" s="6"/>
    </row>
    <row r="13" spans="1:27" ht="28.5" customHeight="1">
      <c r="A13" s="107"/>
      <c r="B13" s="108"/>
      <c r="C13" s="109"/>
      <c r="D13" s="8" t="s">
        <v>32</v>
      </c>
      <c r="E13" s="144" t="s">
        <v>33</v>
      </c>
      <c r="F13" s="105"/>
      <c r="G13" s="105"/>
      <c r="H13" s="105"/>
      <c r="I13" s="105"/>
      <c r="J13" s="105"/>
      <c r="K13" s="105"/>
      <c r="L13" s="105"/>
      <c r="M13" s="105"/>
      <c r="N13" s="105"/>
      <c r="O13" s="105"/>
      <c r="P13" s="105"/>
      <c r="Q13" s="105"/>
      <c r="R13" s="105"/>
      <c r="S13" s="105"/>
      <c r="T13" s="106"/>
      <c r="U13" s="6"/>
      <c r="V13" s="6"/>
      <c r="W13" s="6"/>
      <c r="X13" s="6"/>
      <c r="Y13" s="6"/>
      <c r="Z13" s="6"/>
      <c r="AA13" s="6"/>
    </row>
    <row r="14" spans="1:27" ht="15" customHeight="1">
      <c r="A14" s="107"/>
      <c r="B14" s="108"/>
      <c r="C14" s="109"/>
      <c r="D14" s="9"/>
      <c r="E14" s="146"/>
      <c r="F14" s="121"/>
      <c r="G14" s="121"/>
      <c r="H14" s="121"/>
      <c r="I14" s="121"/>
      <c r="J14" s="121"/>
      <c r="K14" s="121"/>
      <c r="L14" s="121"/>
      <c r="M14" s="121"/>
      <c r="N14" s="121"/>
      <c r="O14" s="121"/>
      <c r="P14" s="121"/>
      <c r="Q14" s="121"/>
      <c r="R14" s="121"/>
      <c r="S14" s="121"/>
      <c r="T14" s="117"/>
      <c r="U14" s="6"/>
      <c r="V14" s="6"/>
      <c r="W14" s="6"/>
      <c r="X14" s="6"/>
      <c r="Y14" s="6"/>
      <c r="Z14" s="6"/>
      <c r="AA14" s="6"/>
    </row>
    <row r="15" spans="1:27" ht="15" customHeight="1">
      <c r="A15" s="107"/>
      <c r="B15" s="108"/>
      <c r="C15" s="109"/>
      <c r="D15" s="147" t="s">
        <v>34</v>
      </c>
      <c r="E15" s="121"/>
      <c r="F15" s="121"/>
      <c r="G15" s="121"/>
      <c r="H15" s="121"/>
      <c r="I15" s="121"/>
      <c r="J15" s="121"/>
      <c r="K15" s="121"/>
      <c r="L15" s="121"/>
      <c r="M15" s="121"/>
      <c r="N15" s="121"/>
      <c r="O15" s="121"/>
      <c r="P15" s="121"/>
      <c r="Q15" s="121"/>
      <c r="R15" s="121"/>
      <c r="S15" s="121"/>
      <c r="T15" s="117"/>
      <c r="U15" s="6"/>
      <c r="V15" s="6"/>
      <c r="W15" s="6"/>
      <c r="X15" s="6"/>
      <c r="Y15" s="6"/>
      <c r="Z15" s="6"/>
      <c r="AA15" s="6"/>
    </row>
    <row r="16" spans="1:27" ht="15" customHeight="1">
      <c r="A16" s="107"/>
      <c r="B16" s="108"/>
      <c r="C16" s="109"/>
      <c r="D16" s="10" t="s">
        <v>35</v>
      </c>
      <c r="E16" s="144" t="s">
        <v>36</v>
      </c>
      <c r="F16" s="105"/>
      <c r="G16" s="105"/>
      <c r="H16" s="105"/>
      <c r="I16" s="105"/>
      <c r="J16" s="105"/>
      <c r="K16" s="105"/>
      <c r="L16" s="105"/>
      <c r="M16" s="105"/>
      <c r="N16" s="105"/>
      <c r="O16" s="105"/>
      <c r="P16" s="105"/>
      <c r="Q16" s="105"/>
      <c r="R16" s="105"/>
      <c r="S16" s="105"/>
      <c r="T16" s="106"/>
      <c r="U16" s="6"/>
      <c r="V16" s="6"/>
      <c r="W16" s="6"/>
      <c r="X16" s="6"/>
      <c r="Y16" s="6"/>
      <c r="Z16" s="6"/>
      <c r="AA16" s="6"/>
    </row>
    <row r="17" spans="1:27" ht="15" customHeight="1">
      <c r="A17" s="107"/>
      <c r="B17" s="108"/>
      <c r="C17" s="109"/>
      <c r="D17" s="10" t="s">
        <v>37</v>
      </c>
      <c r="E17" s="144" t="s">
        <v>38</v>
      </c>
      <c r="F17" s="105"/>
      <c r="G17" s="105"/>
      <c r="H17" s="105"/>
      <c r="I17" s="105"/>
      <c r="J17" s="105"/>
      <c r="K17" s="105"/>
      <c r="L17" s="105"/>
      <c r="M17" s="105"/>
      <c r="N17" s="105"/>
      <c r="O17" s="105"/>
      <c r="P17" s="105"/>
      <c r="Q17" s="105"/>
      <c r="R17" s="105"/>
      <c r="S17" s="105"/>
      <c r="T17" s="106"/>
      <c r="U17" s="6"/>
      <c r="V17" s="6"/>
      <c r="W17" s="6"/>
      <c r="X17" s="6"/>
      <c r="Y17" s="6"/>
      <c r="Z17" s="6"/>
      <c r="AA17" s="6"/>
    </row>
    <row r="18" spans="1:27" ht="15" customHeight="1">
      <c r="A18" s="107"/>
      <c r="B18" s="108"/>
      <c r="C18" s="109"/>
      <c r="D18" s="10" t="s">
        <v>39</v>
      </c>
      <c r="E18" s="148" t="s">
        <v>40</v>
      </c>
      <c r="F18" s="121"/>
      <c r="G18" s="121"/>
      <c r="H18" s="121"/>
      <c r="I18" s="121"/>
      <c r="J18" s="121"/>
      <c r="K18" s="121"/>
      <c r="L18" s="121"/>
      <c r="M18" s="121"/>
      <c r="N18" s="121"/>
      <c r="O18" s="121"/>
      <c r="P18" s="121"/>
      <c r="Q18" s="121"/>
      <c r="R18" s="121"/>
      <c r="S18" s="121"/>
      <c r="T18" s="11"/>
      <c r="U18" s="6"/>
      <c r="V18" s="6"/>
      <c r="W18" s="6"/>
      <c r="X18" s="6"/>
      <c r="Y18" s="6"/>
      <c r="Z18" s="6"/>
      <c r="AA18" s="6"/>
    </row>
    <row r="19" spans="1:27" ht="14.25" customHeight="1">
      <c r="A19" s="107"/>
      <c r="B19" s="108"/>
      <c r="C19" s="109"/>
      <c r="D19" s="12"/>
      <c r="E19" s="13"/>
      <c r="F19" s="13"/>
      <c r="G19" s="13"/>
      <c r="H19" s="13"/>
      <c r="I19" s="13"/>
      <c r="J19" s="13"/>
      <c r="K19" s="14"/>
      <c r="L19" s="14"/>
      <c r="M19" s="14"/>
      <c r="N19" s="14"/>
      <c r="O19" s="14"/>
      <c r="P19" s="14"/>
      <c r="Q19" s="14"/>
      <c r="R19" s="14"/>
      <c r="S19" s="14"/>
      <c r="T19" s="15"/>
      <c r="U19" s="6"/>
      <c r="V19" s="6"/>
      <c r="W19" s="6"/>
      <c r="X19" s="6"/>
      <c r="Y19" s="6"/>
      <c r="Z19" s="6"/>
      <c r="AA19" s="6"/>
    </row>
    <row r="20" spans="1:27" ht="15" customHeight="1">
      <c r="A20" s="104" t="s">
        <v>41</v>
      </c>
      <c r="B20" s="105"/>
      <c r="C20" s="105"/>
      <c r="D20" s="145" t="s">
        <v>42</v>
      </c>
      <c r="E20" s="121"/>
      <c r="F20" s="121"/>
      <c r="G20" s="121"/>
      <c r="H20" s="121"/>
      <c r="I20" s="121"/>
      <c r="J20" s="121"/>
      <c r="K20" s="121"/>
      <c r="L20" s="121"/>
      <c r="M20" s="121"/>
      <c r="N20" s="121"/>
      <c r="O20" s="121"/>
      <c r="P20" s="121"/>
      <c r="Q20" s="121"/>
      <c r="R20" s="121"/>
      <c r="S20" s="121"/>
      <c r="T20" s="117"/>
      <c r="U20" s="6"/>
      <c r="V20" s="6"/>
      <c r="W20" s="6"/>
      <c r="X20" s="6"/>
      <c r="Y20" s="6"/>
      <c r="Z20" s="6"/>
      <c r="AA20" s="6"/>
    </row>
    <row r="21" spans="1:27" ht="15" customHeight="1">
      <c r="A21" s="107"/>
      <c r="B21" s="108"/>
      <c r="C21" s="108"/>
      <c r="D21" s="149"/>
      <c r="E21" s="108"/>
      <c r="F21" s="108"/>
      <c r="G21" s="108"/>
      <c r="H21" s="108"/>
      <c r="I21" s="108"/>
      <c r="J21" s="108"/>
      <c r="K21" s="108"/>
      <c r="L21" s="108"/>
      <c r="M21" s="108"/>
      <c r="N21" s="108"/>
      <c r="O21" s="108"/>
      <c r="P21" s="108"/>
      <c r="Q21" s="108"/>
      <c r="R21" s="108"/>
      <c r="S21" s="108"/>
      <c r="T21" s="109"/>
      <c r="U21" s="6"/>
      <c r="V21" s="6"/>
      <c r="W21" s="6"/>
      <c r="X21" s="6"/>
      <c r="Y21" s="6"/>
      <c r="Z21" s="6"/>
      <c r="AA21" s="6"/>
    </row>
    <row r="22" spans="1:27" ht="15" customHeight="1">
      <c r="A22" s="16"/>
      <c r="B22" s="17"/>
      <c r="C22" s="17"/>
      <c r="D22" s="110" t="s">
        <v>43</v>
      </c>
      <c r="E22" s="150" t="s">
        <v>44</v>
      </c>
      <c r="F22" s="121"/>
      <c r="G22" s="121"/>
      <c r="H22" s="121"/>
      <c r="I22" s="117"/>
      <c r="J22" s="115" t="s">
        <v>45</v>
      </c>
      <c r="K22" s="106"/>
      <c r="L22" s="18"/>
      <c r="M22" s="18"/>
      <c r="N22" s="18"/>
      <c r="O22" s="18"/>
      <c r="P22" s="18"/>
      <c r="Q22" s="18"/>
      <c r="R22" s="18"/>
      <c r="S22" s="18"/>
      <c r="T22" s="19"/>
      <c r="U22" s="6"/>
      <c r="V22" s="6"/>
      <c r="W22" s="6"/>
      <c r="X22" s="6"/>
      <c r="Y22" s="6"/>
      <c r="Z22" s="6"/>
      <c r="AA22" s="6"/>
    </row>
    <row r="23" spans="1:27" ht="15" customHeight="1">
      <c r="A23" s="16"/>
      <c r="B23" s="17"/>
      <c r="C23" s="17"/>
      <c r="D23" s="111"/>
      <c r="E23" s="20" t="s">
        <v>46</v>
      </c>
      <c r="F23" s="21" t="s">
        <v>47</v>
      </c>
      <c r="G23" s="21"/>
      <c r="H23" s="21"/>
      <c r="I23" s="21"/>
      <c r="J23" s="112"/>
      <c r="K23" s="114"/>
      <c r="L23" s="22"/>
      <c r="M23" s="22"/>
      <c r="N23" s="22"/>
      <c r="O23" s="22"/>
      <c r="P23" s="23"/>
      <c r="Q23" s="23"/>
      <c r="R23" s="23"/>
      <c r="S23" s="23"/>
      <c r="T23" s="24"/>
      <c r="U23" s="6"/>
      <c r="V23" s="6"/>
      <c r="W23" s="6"/>
      <c r="X23" s="6"/>
      <c r="Y23" s="6"/>
      <c r="Z23" s="6"/>
      <c r="AA23" s="6"/>
    </row>
    <row r="24" spans="1:27" ht="15" customHeight="1">
      <c r="A24" s="16"/>
      <c r="B24" s="17"/>
      <c r="C24" s="17"/>
      <c r="D24" s="10" t="s">
        <v>35</v>
      </c>
      <c r="E24" s="25">
        <v>25</v>
      </c>
      <c r="F24" s="26"/>
      <c r="G24" s="27"/>
      <c r="H24" s="27"/>
      <c r="I24" s="27"/>
      <c r="J24" s="151">
        <v>25</v>
      </c>
      <c r="K24" s="117"/>
      <c r="L24" s="28"/>
      <c r="M24" s="29"/>
      <c r="N24" s="29"/>
      <c r="O24" s="29"/>
      <c r="P24" s="30"/>
      <c r="Q24" s="30"/>
      <c r="R24" s="30"/>
      <c r="S24" s="30"/>
      <c r="T24" s="31"/>
      <c r="U24" s="6"/>
      <c r="V24" s="6"/>
      <c r="W24" s="6"/>
      <c r="X24" s="6"/>
      <c r="Y24" s="6"/>
      <c r="Z24" s="6"/>
      <c r="AA24" s="6"/>
    </row>
    <row r="25" spans="1:27" ht="15" customHeight="1">
      <c r="A25" s="16"/>
      <c r="B25" s="17"/>
      <c r="C25" s="17"/>
      <c r="D25" s="10" t="s">
        <v>37</v>
      </c>
      <c r="E25" s="25">
        <v>25</v>
      </c>
      <c r="F25" s="26"/>
      <c r="G25" s="27"/>
      <c r="H25" s="27"/>
      <c r="I25" s="27"/>
      <c r="J25" s="151">
        <v>25</v>
      </c>
      <c r="K25" s="117"/>
      <c r="L25" s="28"/>
      <c r="M25" s="32"/>
      <c r="N25" s="32"/>
      <c r="O25" s="32"/>
      <c r="P25" s="33"/>
      <c r="Q25" s="33"/>
      <c r="R25" s="33"/>
      <c r="S25" s="33"/>
      <c r="T25" s="34"/>
      <c r="U25" s="6"/>
      <c r="V25" s="6"/>
      <c r="W25" s="6"/>
      <c r="X25" s="6"/>
      <c r="Y25" s="6"/>
      <c r="Z25" s="6"/>
      <c r="AA25" s="6"/>
    </row>
    <row r="26" spans="1:27" ht="15" customHeight="1">
      <c r="A26" s="16"/>
      <c r="B26" s="17"/>
      <c r="C26" s="17"/>
      <c r="D26" s="10" t="s">
        <v>39</v>
      </c>
      <c r="E26" s="25"/>
      <c r="F26" s="25">
        <v>50</v>
      </c>
      <c r="G26" s="27"/>
      <c r="H26" s="27"/>
      <c r="I26" s="27"/>
      <c r="J26" s="151">
        <v>50</v>
      </c>
      <c r="K26" s="117"/>
      <c r="L26" s="35"/>
      <c r="M26" s="28"/>
      <c r="N26" s="35"/>
      <c r="O26" s="35"/>
      <c r="P26" s="36"/>
      <c r="Q26" s="36"/>
      <c r="R26" s="36"/>
      <c r="S26" s="36"/>
      <c r="T26" s="37"/>
      <c r="U26" s="6"/>
      <c r="V26" s="6"/>
      <c r="W26" s="6"/>
      <c r="X26" s="6"/>
      <c r="Y26" s="6"/>
      <c r="Z26" s="6"/>
      <c r="AA26" s="6"/>
    </row>
    <row r="27" spans="1:27" ht="15" customHeight="1">
      <c r="A27" s="16"/>
      <c r="B27" s="17"/>
      <c r="C27" s="17"/>
      <c r="D27" s="38" t="s">
        <v>48</v>
      </c>
      <c r="E27" s="39">
        <f t="shared" ref="E27:F27" si="0">SUM(E24:E26)</f>
        <v>50</v>
      </c>
      <c r="F27" s="39">
        <f t="shared" si="0"/>
        <v>50</v>
      </c>
      <c r="G27" s="39"/>
      <c r="H27" s="39"/>
      <c r="I27" s="39"/>
      <c r="J27" s="152">
        <f>SUM(J24:K26)</f>
        <v>100</v>
      </c>
      <c r="K27" s="117"/>
      <c r="L27" s="40"/>
      <c r="M27" s="40"/>
      <c r="N27" s="40"/>
      <c r="O27" s="40"/>
      <c r="P27" s="36"/>
      <c r="Q27" s="36"/>
      <c r="R27" s="36"/>
      <c r="S27" s="36"/>
      <c r="T27" s="37"/>
      <c r="U27" s="6"/>
      <c r="V27" s="6"/>
      <c r="W27" s="6"/>
      <c r="X27" s="6"/>
      <c r="Y27" s="6"/>
      <c r="Z27" s="6"/>
      <c r="AA27" s="6"/>
    </row>
    <row r="28" spans="1:27" ht="15" customHeight="1">
      <c r="A28" s="41"/>
      <c r="B28" s="42"/>
      <c r="C28" s="42"/>
      <c r="D28" s="43"/>
      <c r="E28" s="44"/>
      <c r="F28" s="44"/>
      <c r="G28" s="44"/>
      <c r="H28" s="44"/>
      <c r="I28" s="44"/>
      <c r="J28" s="44"/>
      <c r="K28" s="44"/>
      <c r="L28" s="44"/>
      <c r="M28" s="44"/>
      <c r="N28" s="44"/>
      <c r="O28" s="44"/>
      <c r="P28" s="44"/>
      <c r="Q28" s="44"/>
      <c r="R28" s="44"/>
      <c r="S28" s="44"/>
      <c r="T28" s="45"/>
      <c r="U28" s="6"/>
      <c r="V28" s="6"/>
      <c r="W28" s="6"/>
      <c r="X28" s="6"/>
      <c r="Y28" s="6"/>
      <c r="Z28" s="6"/>
      <c r="AA28" s="6"/>
    </row>
    <row r="29" spans="1:27" ht="15" customHeight="1">
      <c r="A29" s="104" t="s">
        <v>49</v>
      </c>
      <c r="B29" s="105"/>
      <c r="C29" s="106"/>
      <c r="D29" s="153" t="s">
        <v>50</v>
      </c>
      <c r="E29" s="121"/>
      <c r="F29" s="121"/>
      <c r="G29" s="121"/>
      <c r="H29" s="121"/>
      <c r="I29" s="121"/>
      <c r="J29" s="121"/>
      <c r="K29" s="121"/>
      <c r="L29" s="121"/>
      <c r="M29" s="121"/>
      <c r="N29" s="121"/>
      <c r="O29" s="121"/>
      <c r="P29" s="121"/>
      <c r="Q29" s="121"/>
      <c r="R29" s="121"/>
      <c r="S29" s="121"/>
      <c r="T29" s="117"/>
      <c r="U29" s="6"/>
      <c r="V29" s="6"/>
      <c r="W29" s="6"/>
      <c r="X29" s="6"/>
      <c r="Y29" s="6"/>
      <c r="Z29" s="6"/>
      <c r="AA29" s="6"/>
    </row>
    <row r="30" spans="1:27" ht="15" customHeight="1">
      <c r="A30" s="107"/>
      <c r="B30" s="108"/>
      <c r="C30" s="109"/>
      <c r="D30" s="46"/>
      <c r="E30" s="36"/>
      <c r="F30" s="36"/>
      <c r="G30" s="36"/>
      <c r="H30" s="36"/>
      <c r="I30" s="36"/>
      <c r="J30" s="36"/>
      <c r="K30" s="36"/>
      <c r="L30" s="36"/>
      <c r="M30" s="36"/>
      <c r="N30" s="36"/>
      <c r="O30" s="36"/>
      <c r="P30" s="36"/>
      <c r="Q30" s="36"/>
      <c r="R30" s="36"/>
      <c r="S30" s="36"/>
      <c r="T30" s="37"/>
      <c r="U30" s="6"/>
      <c r="V30" s="6"/>
      <c r="W30" s="6"/>
      <c r="X30" s="6"/>
      <c r="Y30" s="6"/>
      <c r="Z30" s="6"/>
      <c r="AA30" s="6"/>
    </row>
    <row r="31" spans="1:27" ht="15" customHeight="1">
      <c r="A31" s="107"/>
      <c r="B31" s="108"/>
      <c r="C31" s="109"/>
      <c r="D31" s="115" t="s">
        <v>51</v>
      </c>
      <c r="E31" s="106"/>
      <c r="F31" s="150" t="s">
        <v>43</v>
      </c>
      <c r="G31" s="121"/>
      <c r="H31" s="121"/>
      <c r="I31" s="121"/>
      <c r="J31" s="117"/>
      <c r="K31" s="47"/>
      <c r="L31" s="48"/>
      <c r="M31" s="48"/>
      <c r="N31" s="48"/>
      <c r="O31" s="48"/>
      <c r="P31" s="48"/>
      <c r="Q31" s="48"/>
      <c r="R31" s="48"/>
      <c r="S31" s="48"/>
      <c r="T31" s="49"/>
      <c r="U31" s="6"/>
      <c r="V31" s="6"/>
      <c r="W31" s="6"/>
      <c r="X31" s="6"/>
      <c r="Y31" s="6"/>
      <c r="Z31" s="6"/>
      <c r="AA31" s="6"/>
    </row>
    <row r="32" spans="1:27" ht="15" customHeight="1">
      <c r="A32" s="107"/>
      <c r="B32" s="108"/>
      <c r="C32" s="109"/>
      <c r="D32" s="112"/>
      <c r="E32" s="114"/>
      <c r="F32" s="38" t="s">
        <v>35</v>
      </c>
      <c r="G32" s="38" t="s">
        <v>37</v>
      </c>
      <c r="H32" s="38" t="s">
        <v>39</v>
      </c>
      <c r="I32" s="38"/>
      <c r="J32" s="50"/>
      <c r="K32" s="51"/>
      <c r="L32" s="52"/>
      <c r="M32" s="52"/>
      <c r="N32" s="52"/>
      <c r="O32" s="52"/>
      <c r="P32" s="52"/>
      <c r="Q32" s="52"/>
      <c r="R32" s="52"/>
      <c r="S32" s="52"/>
      <c r="T32" s="49"/>
      <c r="U32" s="6"/>
      <c r="V32" s="6"/>
      <c r="W32" s="6"/>
      <c r="X32" s="6"/>
      <c r="Y32" s="6"/>
      <c r="Z32" s="6"/>
      <c r="AA32" s="6"/>
    </row>
    <row r="33" spans="1:27" ht="15" customHeight="1">
      <c r="A33" s="107"/>
      <c r="B33" s="108"/>
      <c r="C33" s="109"/>
      <c r="D33" s="116" t="s">
        <v>52</v>
      </c>
      <c r="E33" s="117"/>
      <c r="F33" s="53" t="s">
        <v>16</v>
      </c>
      <c r="G33" s="54" t="s">
        <v>16</v>
      </c>
      <c r="H33" s="54" t="s">
        <v>16</v>
      </c>
      <c r="I33" s="55"/>
      <c r="J33" s="55"/>
      <c r="K33" s="56"/>
      <c r="L33" s="3"/>
      <c r="M33" s="3"/>
      <c r="N33" s="3"/>
      <c r="O33" s="3"/>
      <c r="P33" s="3"/>
      <c r="Q33" s="3"/>
      <c r="R33" s="3"/>
      <c r="S33" s="3"/>
      <c r="T33" s="49"/>
      <c r="U33" s="6"/>
      <c r="V33" s="6"/>
      <c r="W33" s="6"/>
      <c r="X33" s="6"/>
      <c r="Y33" s="6"/>
      <c r="Z33" s="6"/>
      <c r="AA33" s="6"/>
    </row>
    <row r="34" spans="1:27" ht="15" customHeight="1">
      <c r="A34" s="107"/>
      <c r="B34" s="108"/>
      <c r="C34" s="109"/>
      <c r="D34" s="116" t="s">
        <v>53</v>
      </c>
      <c r="E34" s="117"/>
      <c r="F34" s="53" t="s">
        <v>16</v>
      </c>
      <c r="G34" s="53" t="s">
        <v>16</v>
      </c>
      <c r="H34" s="53" t="s">
        <v>16</v>
      </c>
      <c r="I34" s="57"/>
      <c r="J34" s="57"/>
      <c r="K34" s="56"/>
      <c r="L34" s="3"/>
      <c r="M34" s="3"/>
      <c r="N34" s="3"/>
      <c r="O34" s="3"/>
      <c r="P34" s="3"/>
      <c r="Q34" s="3"/>
      <c r="R34" s="3"/>
      <c r="S34" s="3"/>
      <c r="T34" s="49"/>
      <c r="U34" s="6"/>
      <c r="V34" s="6"/>
      <c r="W34" s="6"/>
      <c r="X34" s="6"/>
      <c r="Y34" s="6"/>
      <c r="Z34" s="6"/>
      <c r="AA34" s="6"/>
    </row>
    <row r="35" spans="1:27" ht="15" customHeight="1">
      <c r="A35" s="107"/>
      <c r="B35" s="108"/>
      <c r="C35" s="109"/>
      <c r="D35" s="116" t="s">
        <v>54</v>
      </c>
      <c r="E35" s="117"/>
      <c r="F35" s="53" t="s">
        <v>16</v>
      </c>
      <c r="G35" s="53" t="s">
        <v>16</v>
      </c>
      <c r="H35" s="57" t="s">
        <v>55</v>
      </c>
      <c r="I35" s="57"/>
      <c r="J35" s="57"/>
      <c r="K35" s="56"/>
      <c r="L35" s="3"/>
      <c r="M35" s="3"/>
      <c r="N35" s="3"/>
      <c r="O35" s="3"/>
      <c r="P35" s="3"/>
      <c r="Q35" s="3"/>
      <c r="R35" s="3"/>
      <c r="S35" s="3"/>
      <c r="T35" s="49"/>
      <c r="U35" s="6"/>
      <c r="V35" s="6"/>
      <c r="W35" s="6"/>
      <c r="X35" s="6"/>
      <c r="Y35" s="6"/>
      <c r="Z35" s="6"/>
      <c r="AA35" s="6"/>
    </row>
    <row r="36" spans="1:27" ht="15" customHeight="1">
      <c r="A36" s="112"/>
      <c r="B36" s="113"/>
      <c r="C36" s="114"/>
      <c r="D36" s="58" t="s">
        <v>56</v>
      </c>
      <c r="E36" s="6"/>
      <c r="F36" s="5"/>
      <c r="G36" s="5"/>
      <c r="H36" s="5"/>
      <c r="I36" s="5"/>
      <c r="J36" s="5"/>
      <c r="K36" s="5"/>
      <c r="L36" s="6"/>
      <c r="M36" s="6"/>
      <c r="N36" s="6"/>
      <c r="O36" s="6"/>
      <c r="P36" s="6"/>
      <c r="Q36" s="6"/>
      <c r="R36" s="6"/>
      <c r="S36" s="6"/>
      <c r="T36" s="45"/>
      <c r="U36" s="6"/>
      <c r="V36" s="6"/>
      <c r="W36" s="6"/>
      <c r="X36" s="6"/>
      <c r="Y36" s="6"/>
      <c r="Z36" s="6"/>
      <c r="AA36" s="6"/>
    </row>
    <row r="37" spans="1:27" ht="15" customHeight="1">
      <c r="A37" s="104" t="s">
        <v>57</v>
      </c>
      <c r="B37" s="105"/>
      <c r="C37" s="106"/>
      <c r="D37" s="154" t="s">
        <v>58</v>
      </c>
      <c r="E37" s="121"/>
      <c r="F37" s="121"/>
      <c r="G37" s="121"/>
      <c r="H37" s="121"/>
      <c r="I37" s="121"/>
      <c r="J37" s="121"/>
      <c r="K37" s="121"/>
      <c r="L37" s="121"/>
      <c r="M37" s="121"/>
      <c r="N37" s="121"/>
      <c r="O37" s="121"/>
      <c r="P37" s="121"/>
      <c r="Q37" s="121"/>
      <c r="R37" s="121"/>
      <c r="S37" s="121"/>
      <c r="T37" s="117"/>
      <c r="U37" s="6"/>
      <c r="V37" s="6"/>
      <c r="W37" s="6"/>
      <c r="X37" s="6"/>
      <c r="Y37" s="6"/>
      <c r="Z37" s="6"/>
      <c r="AA37" s="6"/>
    </row>
    <row r="38" spans="1:27" ht="15" customHeight="1">
      <c r="A38" s="107"/>
      <c r="B38" s="108"/>
      <c r="C38" s="109"/>
      <c r="D38" s="154" t="s">
        <v>59</v>
      </c>
      <c r="E38" s="121"/>
      <c r="F38" s="121"/>
      <c r="G38" s="121"/>
      <c r="H38" s="121"/>
      <c r="I38" s="121"/>
      <c r="J38" s="121"/>
      <c r="K38" s="121"/>
      <c r="L38" s="121"/>
      <c r="M38" s="121"/>
      <c r="N38" s="121"/>
      <c r="O38" s="121"/>
      <c r="P38" s="121"/>
      <c r="Q38" s="121"/>
      <c r="R38" s="121"/>
      <c r="S38" s="121"/>
      <c r="T38" s="117"/>
      <c r="U38" s="6"/>
      <c r="V38" s="6"/>
      <c r="W38" s="6"/>
      <c r="X38" s="6"/>
      <c r="Y38" s="6"/>
      <c r="Z38" s="6"/>
      <c r="AA38" s="6"/>
    </row>
    <row r="39" spans="1:27" ht="15" customHeight="1">
      <c r="A39" s="107"/>
      <c r="B39" s="108"/>
      <c r="C39" s="109"/>
      <c r="D39" s="155" t="s">
        <v>60</v>
      </c>
      <c r="E39" s="105"/>
      <c r="F39" s="105"/>
      <c r="G39" s="105"/>
      <c r="H39" s="105"/>
      <c r="I39" s="105"/>
      <c r="J39" s="105"/>
      <c r="K39" s="105"/>
      <c r="L39" s="105"/>
      <c r="M39" s="105"/>
      <c r="N39" s="105"/>
      <c r="O39" s="105"/>
      <c r="P39" s="105"/>
      <c r="Q39" s="105"/>
      <c r="R39" s="105"/>
      <c r="S39" s="105"/>
      <c r="T39" s="106"/>
      <c r="U39" s="6"/>
      <c r="V39" s="6"/>
      <c r="W39" s="6"/>
      <c r="X39" s="6"/>
      <c r="Y39" s="6"/>
      <c r="Z39" s="6"/>
      <c r="AA39" s="6"/>
    </row>
    <row r="40" spans="1:27" ht="15" customHeight="1">
      <c r="A40" s="107"/>
      <c r="B40" s="108"/>
      <c r="C40" s="109"/>
      <c r="D40" s="156" t="s">
        <v>61</v>
      </c>
      <c r="E40" s="105"/>
      <c r="F40" s="105"/>
      <c r="G40" s="105"/>
      <c r="H40" s="105"/>
      <c r="I40" s="105"/>
      <c r="J40" s="105"/>
      <c r="K40" s="105"/>
      <c r="L40" s="105"/>
      <c r="M40" s="105"/>
      <c r="N40" s="105"/>
      <c r="O40" s="105"/>
      <c r="P40" s="105"/>
      <c r="Q40" s="105"/>
      <c r="R40" s="105"/>
      <c r="S40" s="105"/>
      <c r="T40" s="106"/>
      <c r="U40" s="6"/>
      <c r="V40" s="6"/>
      <c r="W40" s="6"/>
      <c r="X40" s="6"/>
      <c r="Y40" s="6"/>
      <c r="Z40" s="6"/>
      <c r="AA40" s="6"/>
    </row>
    <row r="41" spans="1:27" ht="15" customHeight="1">
      <c r="A41" s="112"/>
      <c r="B41" s="113"/>
      <c r="C41" s="114"/>
      <c r="D41" s="156"/>
      <c r="E41" s="105"/>
      <c r="F41" s="105"/>
      <c r="G41" s="105"/>
      <c r="H41" s="105"/>
      <c r="I41" s="105"/>
      <c r="J41" s="105"/>
      <c r="K41" s="105"/>
      <c r="L41" s="105"/>
      <c r="M41" s="105"/>
      <c r="N41" s="105"/>
      <c r="O41" s="105"/>
      <c r="P41" s="105"/>
      <c r="Q41" s="105"/>
      <c r="R41" s="105"/>
      <c r="S41" s="105"/>
      <c r="T41" s="106"/>
      <c r="U41" s="6"/>
      <c r="V41" s="6"/>
      <c r="W41" s="6"/>
      <c r="X41" s="6"/>
      <c r="Y41" s="6"/>
      <c r="Z41" s="6"/>
      <c r="AA41" s="6"/>
    </row>
    <row r="42" spans="1:27" ht="15" customHeight="1">
      <c r="A42" s="123"/>
      <c r="B42" s="105"/>
      <c r="C42" s="106"/>
      <c r="D42" s="157" t="s">
        <v>62</v>
      </c>
      <c r="E42" s="158"/>
      <c r="F42" s="158"/>
      <c r="G42" s="158"/>
      <c r="H42" s="158"/>
      <c r="I42" s="158"/>
      <c r="J42" s="158"/>
      <c r="K42" s="158"/>
      <c r="L42" s="158"/>
      <c r="M42" s="158"/>
      <c r="N42" s="158"/>
      <c r="O42" s="158"/>
      <c r="P42" s="158"/>
      <c r="Q42" s="158"/>
      <c r="R42" s="158"/>
      <c r="S42" s="158"/>
      <c r="T42" s="159"/>
      <c r="U42" s="1"/>
      <c r="V42" s="1"/>
      <c r="W42" s="1"/>
      <c r="X42" s="1"/>
      <c r="Y42" s="1"/>
      <c r="Z42" s="1"/>
      <c r="AA42" s="1"/>
    </row>
    <row r="43" spans="1:27" ht="15" customHeight="1">
      <c r="A43" s="107"/>
      <c r="B43" s="108"/>
      <c r="C43" s="109"/>
      <c r="D43" s="160" t="s">
        <v>63</v>
      </c>
      <c r="E43" s="108"/>
      <c r="F43" s="108"/>
      <c r="G43" s="108"/>
      <c r="H43" s="108"/>
      <c r="I43" s="108"/>
      <c r="J43" s="108"/>
      <c r="K43" s="108"/>
      <c r="L43" s="108"/>
      <c r="M43" s="108"/>
      <c r="N43" s="108"/>
      <c r="O43" s="108"/>
      <c r="P43" s="108"/>
      <c r="Q43" s="108"/>
      <c r="R43" s="108"/>
      <c r="S43" s="108"/>
      <c r="T43" s="109"/>
      <c r="U43" s="1"/>
      <c r="V43" s="1"/>
      <c r="W43" s="1"/>
      <c r="X43" s="1"/>
      <c r="Y43" s="1"/>
      <c r="Z43" s="1"/>
      <c r="AA43" s="1"/>
    </row>
    <row r="44" spans="1:27" ht="15" customHeight="1">
      <c r="A44" s="107"/>
      <c r="B44" s="108"/>
      <c r="C44" s="109"/>
      <c r="D44" s="160"/>
      <c r="E44" s="108"/>
      <c r="F44" s="108"/>
      <c r="G44" s="108"/>
      <c r="H44" s="108"/>
      <c r="I44" s="108"/>
      <c r="J44" s="108"/>
      <c r="K44" s="108"/>
      <c r="L44" s="108"/>
      <c r="M44" s="108"/>
      <c r="N44" s="108"/>
      <c r="O44" s="108"/>
      <c r="P44" s="108"/>
      <c r="Q44" s="108"/>
      <c r="R44" s="108"/>
      <c r="S44" s="108"/>
      <c r="T44" s="109"/>
      <c r="U44" s="1"/>
      <c r="V44" s="1"/>
      <c r="W44" s="1"/>
      <c r="X44" s="1"/>
      <c r="Y44" s="1"/>
      <c r="Z44" s="1"/>
      <c r="AA44" s="1"/>
    </row>
    <row r="45" spans="1:27" ht="15" customHeight="1">
      <c r="A45" s="107"/>
      <c r="B45" s="108"/>
      <c r="C45" s="109"/>
      <c r="D45" s="161" t="s">
        <v>64</v>
      </c>
      <c r="E45" s="121"/>
      <c r="F45" s="121"/>
      <c r="G45" s="121"/>
      <c r="H45" s="121"/>
      <c r="I45" s="121"/>
      <c r="J45" s="121"/>
      <c r="K45" s="121"/>
      <c r="L45" s="121"/>
      <c r="M45" s="121"/>
      <c r="N45" s="121"/>
      <c r="O45" s="121"/>
      <c r="P45" s="121"/>
      <c r="Q45" s="121"/>
      <c r="R45" s="121"/>
      <c r="S45" s="121"/>
      <c r="T45" s="117"/>
      <c r="U45" s="1"/>
      <c r="V45" s="1"/>
      <c r="W45" s="1"/>
      <c r="X45" s="1"/>
      <c r="Y45" s="1"/>
      <c r="Z45" s="1"/>
      <c r="AA45" s="1"/>
    </row>
    <row r="46" spans="1:27" ht="15" customHeight="1">
      <c r="A46" s="107"/>
      <c r="B46" s="108"/>
      <c r="C46" s="109"/>
      <c r="D46" s="162"/>
      <c r="E46" s="163"/>
      <c r="F46" s="163"/>
      <c r="G46" s="163"/>
      <c r="H46" s="163"/>
      <c r="I46" s="163"/>
      <c r="J46" s="163"/>
      <c r="K46" s="163"/>
      <c r="L46" s="163"/>
      <c r="M46" s="163"/>
      <c r="N46" s="163"/>
      <c r="O46" s="163"/>
      <c r="P46" s="163"/>
      <c r="Q46" s="163"/>
      <c r="R46" s="163"/>
      <c r="S46" s="163"/>
      <c r="T46" s="164"/>
      <c r="U46" s="1"/>
      <c r="V46" s="1"/>
      <c r="W46" s="1"/>
      <c r="X46" s="1"/>
      <c r="Y46" s="1"/>
      <c r="Z46" s="1"/>
      <c r="AA46" s="1"/>
    </row>
    <row r="47" spans="1:27" ht="15" customHeight="1">
      <c r="A47" s="112"/>
      <c r="B47" s="113"/>
      <c r="C47" s="114"/>
      <c r="D47" s="162"/>
      <c r="E47" s="163"/>
      <c r="F47" s="163"/>
      <c r="G47" s="163"/>
      <c r="H47" s="163"/>
      <c r="I47" s="163"/>
      <c r="J47" s="163"/>
      <c r="K47" s="163"/>
      <c r="L47" s="163"/>
      <c r="M47" s="163"/>
      <c r="N47" s="163"/>
      <c r="O47" s="163"/>
      <c r="P47" s="163"/>
      <c r="Q47" s="163"/>
      <c r="R47" s="163"/>
      <c r="S47" s="163"/>
      <c r="T47" s="164"/>
      <c r="U47" s="1"/>
      <c r="V47" s="1"/>
      <c r="W47" s="1"/>
      <c r="X47" s="1"/>
      <c r="Y47" s="1"/>
      <c r="Z47" s="1"/>
      <c r="AA47" s="1"/>
    </row>
    <row r="48" spans="1:27" ht="15" customHeight="1">
      <c r="A48" s="123" t="s">
        <v>65</v>
      </c>
      <c r="B48" s="105"/>
      <c r="C48" s="106"/>
      <c r="D48" s="165" t="s">
        <v>66</v>
      </c>
      <c r="E48" s="121"/>
      <c r="F48" s="121"/>
      <c r="G48" s="121"/>
      <c r="H48" s="121"/>
      <c r="I48" s="121"/>
      <c r="J48" s="121"/>
      <c r="K48" s="121"/>
      <c r="L48" s="121"/>
      <c r="M48" s="121"/>
      <c r="N48" s="121"/>
      <c r="O48" s="121"/>
      <c r="P48" s="121"/>
      <c r="Q48" s="121"/>
      <c r="R48" s="121"/>
      <c r="S48" s="121"/>
      <c r="T48" s="117"/>
      <c r="U48" s="6"/>
      <c r="V48" s="6"/>
      <c r="W48" s="6"/>
      <c r="X48" s="6"/>
      <c r="Y48" s="6"/>
      <c r="Z48" s="6"/>
      <c r="AA48" s="6"/>
    </row>
    <row r="49" spans="1:27" ht="4.5" customHeight="1">
      <c r="A49" s="107"/>
      <c r="B49" s="108"/>
      <c r="C49" s="109"/>
      <c r="D49" s="6"/>
      <c r="E49" s="6"/>
      <c r="F49" s="6"/>
      <c r="G49" s="6"/>
      <c r="H49" s="6"/>
      <c r="I49" s="6"/>
      <c r="J49" s="6"/>
      <c r="K49" s="6"/>
      <c r="L49" s="46"/>
      <c r="M49" s="6"/>
      <c r="N49" s="6"/>
      <c r="O49" s="6"/>
      <c r="P49" s="6"/>
      <c r="Q49" s="6"/>
      <c r="R49" s="6"/>
      <c r="S49" s="6"/>
      <c r="T49" s="49"/>
      <c r="U49" s="6"/>
      <c r="V49" s="6"/>
      <c r="W49" s="6"/>
      <c r="X49" s="6"/>
      <c r="Y49" s="6"/>
      <c r="Z49" s="6"/>
      <c r="AA49" s="6"/>
    </row>
    <row r="50" spans="1:27" ht="15" customHeight="1">
      <c r="A50" s="107"/>
      <c r="B50" s="108"/>
      <c r="C50" s="109"/>
      <c r="D50" s="39" t="s">
        <v>67</v>
      </c>
      <c r="E50" s="166" t="s">
        <v>68</v>
      </c>
      <c r="F50" s="117"/>
      <c r="G50" s="166" t="s">
        <v>69</v>
      </c>
      <c r="H50" s="121"/>
      <c r="I50" s="117"/>
      <c r="J50" s="166" t="s">
        <v>70</v>
      </c>
      <c r="K50" s="117"/>
      <c r="L50" s="59"/>
      <c r="M50" s="6"/>
      <c r="N50" s="60"/>
      <c r="O50" s="60"/>
      <c r="P50" s="6"/>
      <c r="Q50" s="6"/>
      <c r="R50" s="6"/>
      <c r="S50" s="6"/>
      <c r="T50" s="49"/>
      <c r="U50" s="6"/>
      <c r="V50" s="6"/>
      <c r="W50" s="6"/>
      <c r="X50" s="6"/>
      <c r="Y50" s="6"/>
      <c r="Z50" s="6"/>
      <c r="AA50" s="6"/>
    </row>
    <row r="51" spans="1:27" ht="15" customHeight="1">
      <c r="A51" s="107"/>
      <c r="B51" s="108"/>
      <c r="C51" s="109"/>
      <c r="D51" s="55" t="s">
        <v>71</v>
      </c>
      <c r="E51" s="167" t="s">
        <v>72</v>
      </c>
      <c r="F51" s="117"/>
      <c r="G51" s="167" t="s">
        <v>73</v>
      </c>
      <c r="H51" s="121"/>
      <c r="I51" s="117"/>
      <c r="J51" s="168" t="s">
        <v>74</v>
      </c>
      <c r="K51" s="106"/>
      <c r="L51" s="59"/>
      <c r="M51" s="6"/>
      <c r="N51" s="61"/>
      <c r="O51" s="61"/>
      <c r="P51" s="6"/>
      <c r="Q51" s="6"/>
      <c r="R51" s="6"/>
      <c r="S51" s="6"/>
      <c r="T51" s="49"/>
      <c r="U51" s="6"/>
      <c r="V51" s="6"/>
      <c r="W51" s="6"/>
      <c r="X51" s="6"/>
      <c r="Y51" s="6"/>
      <c r="Z51" s="6"/>
      <c r="AA51" s="6"/>
    </row>
    <row r="52" spans="1:27" ht="15" customHeight="1">
      <c r="A52" s="107"/>
      <c r="B52" s="108"/>
      <c r="C52" s="109"/>
      <c r="D52" s="55" t="s">
        <v>75</v>
      </c>
      <c r="E52" s="167" t="s">
        <v>76</v>
      </c>
      <c r="F52" s="117"/>
      <c r="G52" s="167" t="s">
        <v>77</v>
      </c>
      <c r="H52" s="121"/>
      <c r="I52" s="117"/>
      <c r="J52" s="107"/>
      <c r="K52" s="109"/>
      <c r="L52" s="59"/>
      <c r="M52" s="6"/>
      <c r="N52" s="61"/>
      <c r="O52" s="61"/>
      <c r="P52" s="6"/>
      <c r="Q52" s="6"/>
      <c r="R52" s="6"/>
      <c r="S52" s="6"/>
      <c r="T52" s="49"/>
      <c r="U52" s="6"/>
      <c r="V52" s="6"/>
      <c r="W52" s="6"/>
      <c r="X52" s="6"/>
      <c r="Y52" s="6"/>
      <c r="Z52" s="6"/>
      <c r="AA52" s="6"/>
    </row>
    <row r="53" spans="1:27" ht="15" customHeight="1">
      <c r="A53" s="107"/>
      <c r="B53" s="108"/>
      <c r="C53" s="109"/>
      <c r="D53" s="55" t="s">
        <v>78</v>
      </c>
      <c r="E53" s="167" t="s">
        <v>79</v>
      </c>
      <c r="F53" s="117"/>
      <c r="G53" s="167" t="s">
        <v>80</v>
      </c>
      <c r="H53" s="121"/>
      <c r="I53" s="117"/>
      <c r="J53" s="107"/>
      <c r="K53" s="109"/>
      <c r="L53" s="59"/>
      <c r="M53" s="6"/>
      <c r="N53" s="61"/>
      <c r="O53" s="61"/>
      <c r="P53" s="6"/>
      <c r="Q53" s="6"/>
      <c r="R53" s="6"/>
      <c r="S53" s="6"/>
      <c r="T53" s="49"/>
      <c r="U53" s="6"/>
      <c r="V53" s="6"/>
      <c r="W53" s="6"/>
      <c r="X53" s="6"/>
      <c r="Y53" s="6"/>
      <c r="Z53" s="6"/>
      <c r="AA53" s="6"/>
    </row>
    <row r="54" spans="1:27" ht="15" customHeight="1">
      <c r="A54" s="107"/>
      <c r="B54" s="108"/>
      <c r="C54" s="109"/>
      <c r="D54" s="55" t="s">
        <v>81</v>
      </c>
      <c r="E54" s="167" t="s">
        <v>82</v>
      </c>
      <c r="F54" s="117"/>
      <c r="G54" s="167" t="s">
        <v>83</v>
      </c>
      <c r="H54" s="121"/>
      <c r="I54" s="117"/>
      <c r="J54" s="107"/>
      <c r="K54" s="109"/>
      <c r="L54" s="59"/>
      <c r="M54" s="6"/>
      <c r="N54" s="61"/>
      <c r="O54" s="61"/>
      <c r="P54" s="6"/>
      <c r="Q54" s="6"/>
      <c r="R54" s="6"/>
      <c r="S54" s="6"/>
      <c r="T54" s="49"/>
      <c r="U54" s="6"/>
      <c r="V54" s="6"/>
      <c r="W54" s="6"/>
      <c r="X54" s="6"/>
      <c r="Y54" s="6"/>
      <c r="Z54" s="6"/>
      <c r="AA54" s="6"/>
    </row>
    <row r="55" spans="1:27" ht="15" customHeight="1">
      <c r="A55" s="107"/>
      <c r="B55" s="108"/>
      <c r="C55" s="109"/>
      <c r="D55" s="55" t="s">
        <v>84</v>
      </c>
      <c r="E55" s="167" t="s">
        <v>85</v>
      </c>
      <c r="F55" s="117"/>
      <c r="G55" s="167" t="s">
        <v>86</v>
      </c>
      <c r="H55" s="121"/>
      <c r="I55" s="117"/>
      <c r="J55" s="112"/>
      <c r="K55" s="114"/>
      <c r="L55" s="59"/>
      <c r="M55" s="6"/>
      <c r="N55" s="61"/>
      <c r="O55" s="61"/>
      <c r="P55" s="6"/>
      <c r="Q55" s="6"/>
      <c r="R55" s="6"/>
      <c r="S55" s="6"/>
      <c r="T55" s="49"/>
      <c r="U55" s="6"/>
      <c r="V55" s="6"/>
      <c r="W55" s="6"/>
      <c r="X55" s="6"/>
      <c r="Y55" s="6"/>
      <c r="Z55" s="6"/>
      <c r="AA55" s="6"/>
    </row>
    <row r="56" spans="1:27" ht="15" customHeight="1">
      <c r="A56" s="107"/>
      <c r="B56" s="108"/>
      <c r="C56" s="109"/>
      <c r="D56" s="55" t="s">
        <v>87</v>
      </c>
      <c r="E56" s="167" t="s">
        <v>88</v>
      </c>
      <c r="F56" s="117"/>
      <c r="G56" s="167" t="s">
        <v>89</v>
      </c>
      <c r="H56" s="121"/>
      <c r="I56" s="117"/>
      <c r="J56" s="168" t="s">
        <v>90</v>
      </c>
      <c r="K56" s="106"/>
      <c r="L56" s="59"/>
      <c r="M56" s="6"/>
      <c r="N56" s="62"/>
      <c r="O56" s="62"/>
      <c r="P56" s="6"/>
      <c r="Q56" s="6"/>
      <c r="R56" s="6"/>
      <c r="S56" s="6"/>
      <c r="T56" s="49"/>
      <c r="U56" s="6"/>
      <c r="V56" s="6"/>
      <c r="W56" s="6"/>
      <c r="X56" s="6"/>
      <c r="Y56" s="6"/>
      <c r="Z56" s="6"/>
      <c r="AA56" s="6"/>
    </row>
    <row r="57" spans="1:27" ht="15" customHeight="1">
      <c r="A57" s="107"/>
      <c r="B57" s="108"/>
      <c r="C57" s="109"/>
      <c r="D57" s="55" t="s">
        <v>91</v>
      </c>
      <c r="E57" s="167" t="s">
        <v>92</v>
      </c>
      <c r="F57" s="117"/>
      <c r="G57" s="169" t="s">
        <v>93</v>
      </c>
      <c r="H57" s="121"/>
      <c r="I57" s="117"/>
      <c r="J57" s="112"/>
      <c r="K57" s="114"/>
      <c r="L57" s="59"/>
      <c r="M57" s="6"/>
      <c r="N57" s="63"/>
      <c r="O57" s="6"/>
      <c r="P57" s="6"/>
      <c r="Q57" s="6"/>
      <c r="R57" s="6"/>
      <c r="S57" s="6"/>
      <c r="T57" s="49"/>
      <c r="U57" s="6"/>
      <c r="V57" s="6"/>
      <c r="W57" s="6"/>
      <c r="X57" s="6"/>
      <c r="Y57" s="6"/>
      <c r="Z57" s="6"/>
      <c r="AA57" s="6"/>
    </row>
    <row r="58" spans="1:27" ht="15" customHeight="1">
      <c r="A58" s="107"/>
      <c r="B58" s="108"/>
      <c r="C58" s="109"/>
      <c r="D58" s="6"/>
      <c r="E58" s="6"/>
      <c r="F58" s="6"/>
      <c r="G58" s="6"/>
      <c r="H58" s="6"/>
      <c r="I58" s="6"/>
      <c r="J58" s="64"/>
      <c r="K58" s="65"/>
      <c r="L58" s="66"/>
      <c r="M58" s="6"/>
      <c r="N58" s="6"/>
      <c r="O58" s="6"/>
      <c r="P58" s="6"/>
      <c r="Q58" s="6"/>
      <c r="R58" s="6"/>
      <c r="S58" s="6"/>
      <c r="T58" s="49"/>
      <c r="U58" s="6"/>
      <c r="V58" s="6"/>
      <c r="W58" s="6"/>
      <c r="X58" s="6"/>
      <c r="Y58" s="6"/>
      <c r="Z58" s="6"/>
      <c r="AA58" s="6"/>
    </row>
    <row r="59" spans="1:27" ht="15" customHeight="1">
      <c r="A59" s="104" t="s">
        <v>94</v>
      </c>
      <c r="B59" s="105"/>
      <c r="C59" s="106"/>
      <c r="D59" s="118" t="s">
        <v>95</v>
      </c>
      <c r="E59" s="119"/>
      <c r="F59" s="188" t="s">
        <v>96</v>
      </c>
      <c r="G59" s="121"/>
      <c r="H59" s="121"/>
      <c r="I59" s="121"/>
      <c r="J59" s="117"/>
      <c r="K59" s="21" t="s">
        <v>55</v>
      </c>
      <c r="L59" s="189" t="s">
        <v>97</v>
      </c>
      <c r="M59" s="121"/>
      <c r="N59" s="121"/>
      <c r="O59" s="121"/>
      <c r="P59" s="117"/>
      <c r="Q59" s="21"/>
      <c r="R59" s="67"/>
      <c r="S59" s="68"/>
      <c r="T59" s="69"/>
      <c r="U59" s="1"/>
      <c r="V59" s="1"/>
      <c r="W59" s="1"/>
      <c r="X59" s="1"/>
      <c r="Y59" s="1"/>
      <c r="Z59" s="1"/>
      <c r="AA59" s="1"/>
    </row>
    <row r="60" spans="1:27" ht="15" customHeight="1">
      <c r="A60" s="107"/>
      <c r="B60" s="108"/>
      <c r="C60" s="109"/>
      <c r="D60" s="70"/>
      <c r="E60" s="46"/>
      <c r="F60" s="5"/>
      <c r="G60" s="5"/>
      <c r="H60" s="5"/>
      <c r="I60" s="5"/>
      <c r="J60" s="5"/>
      <c r="K60" s="5"/>
      <c r="L60" s="5"/>
      <c r="M60" s="5"/>
      <c r="N60" s="5"/>
      <c r="O60" s="5"/>
      <c r="P60" s="5"/>
      <c r="Q60" s="5"/>
      <c r="R60" s="5"/>
      <c r="S60" s="5"/>
      <c r="T60" s="71"/>
      <c r="U60" s="6"/>
      <c r="V60" s="6"/>
      <c r="W60" s="6"/>
      <c r="X60" s="6"/>
      <c r="Y60" s="6"/>
      <c r="Z60" s="6"/>
      <c r="AA60" s="6"/>
    </row>
    <row r="61" spans="1:27" ht="15" customHeight="1">
      <c r="A61" s="107"/>
      <c r="B61" s="108"/>
      <c r="C61" s="109"/>
      <c r="D61" s="115" t="s">
        <v>98</v>
      </c>
      <c r="E61" s="105"/>
      <c r="F61" s="106"/>
      <c r="G61" s="185" t="s">
        <v>99</v>
      </c>
      <c r="H61" s="105"/>
      <c r="I61" s="105"/>
      <c r="J61" s="106"/>
      <c r="K61" s="150" t="s">
        <v>100</v>
      </c>
      <c r="L61" s="121"/>
      <c r="M61" s="121"/>
      <c r="N61" s="117"/>
      <c r="O61" s="185" t="s">
        <v>101</v>
      </c>
      <c r="P61" s="105"/>
      <c r="Q61" s="106"/>
      <c r="R61" s="185" t="s">
        <v>102</v>
      </c>
      <c r="S61" s="105"/>
      <c r="T61" s="106"/>
      <c r="U61" s="6"/>
      <c r="V61" s="6"/>
      <c r="W61" s="6"/>
      <c r="X61" s="6"/>
      <c r="Y61" s="6"/>
      <c r="Z61" s="6"/>
      <c r="AA61" s="6"/>
    </row>
    <row r="62" spans="1:27" ht="15" customHeight="1">
      <c r="A62" s="107"/>
      <c r="B62" s="108"/>
      <c r="C62" s="109"/>
      <c r="D62" s="107"/>
      <c r="E62" s="108"/>
      <c r="F62" s="109"/>
      <c r="G62" s="107"/>
      <c r="H62" s="108"/>
      <c r="I62" s="108"/>
      <c r="J62" s="109"/>
      <c r="K62" s="39" t="s">
        <v>35</v>
      </c>
      <c r="L62" s="39" t="s">
        <v>37</v>
      </c>
      <c r="M62" s="39" t="s">
        <v>39</v>
      </c>
      <c r="N62" s="39"/>
      <c r="O62" s="107"/>
      <c r="P62" s="108"/>
      <c r="Q62" s="109"/>
      <c r="R62" s="107"/>
      <c r="S62" s="108"/>
      <c r="T62" s="109"/>
      <c r="U62" s="6"/>
      <c r="V62" s="6"/>
      <c r="W62" s="6"/>
      <c r="X62" s="6"/>
      <c r="Y62" s="6"/>
      <c r="Z62" s="6"/>
      <c r="AA62" s="6"/>
    </row>
    <row r="63" spans="1:27" ht="15" customHeight="1">
      <c r="A63" s="107"/>
      <c r="B63" s="108"/>
      <c r="C63" s="109"/>
      <c r="D63" s="112"/>
      <c r="E63" s="113"/>
      <c r="F63" s="114"/>
      <c r="G63" s="112"/>
      <c r="H63" s="113"/>
      <c r="I63" s="113"/>
      <c r="J63" s="114"/>
      <c r="K63" s="72">
        <f>E24/100</f>
        <v>0.25</v>
      </c>
      <c r="L63" s="72">
        <f>E25/100</f>
        <v>0.25</v>
      </c>
      <c r="M63" s="72">
        <f>F26/100</f>
        <v>0.5</v>
      </c>
      <c r="N63" s="72"/>
      <c r="O63" s="112"/>
      <c r="P63" s="113"/>
      <c r="Q63" s="114"/>
      <c r="R63" s="112"/>
      <c r="S63" s="113"/>
      <c r="T63" s="114"/>
      <c r="U63" s="6"/>
      <c r="V63" s="6"/>
      <c r="W63" s="6"/>
      <c r="X63" s="6"/>
      <c r="Y63" s="6"/>
      <c r="Z63" s="6"/>
      <c r="AA63" s="6"/>
    </row>
    <row r="64" spans="1:27" ht="15" customHeight="1">
      <c r="A64" s="107"/>
      <c r="B64" s="108"/>
      <c r="C64" s="109"/>
      <c r="D64" s="120" t="s">
        <v>103</v>
      </c>
      <c r="E64" s="121"/>
      <c r="F64" s="117"/>
      <c r="G64" s="186" t="s">
        <v>104</v>
      </c>
      <c r="H64" s="121"/>
      <c r="I64" s="121"/>
      <c r="J64" s="117"/>
      <c r="K64" s="73"/>
      <c r="L64" s="73"/>
      <c r="M64" s="73"/>
      <c r="N64" s="74"/>
      <c r="O64" s="190"/>
      <c r="P64" s="121"/>
      <c r="Q64" s="117"/>
      <c r="R64" s="75"/>
      <c r="S64" s="76"/>
      <c r="T64" s="77"/>
      <c r="U64" s="6"/>
      <c r="V64" s="6"/>
      <c r="W64" s="6"/>
      <c r="X64" s="6"/>
      <c r="Y64" s="6"/>
      <c r="Z64" s="6"/>
      <c r="AA64" s="6"/>
    </row>
    <row r="65" spans="1:27" ht="15" customHeight="1">
      <c r="A65" s="107"/>
      <c r="B65" s="108"/>
      <c r="C65" s="109"/>
      <c r="D65" s="120" t="s">
        <v>105</v>
      </c>
      <c r="E65" s="121"/>
      <c r="F65" s="117"/>
      <c r="G65" s="186" t="s">
        <v>106</v>
      </c>
      <c r="H65" s="121"/>
      <c r="I65" s="121"/>
      <c r="J65" s="117"/>
      <c r="K65" s="78"/>
      <c r="L65" s="78"/>
      <c r="M65" s="78">
        <v>100</v>
      </c>
      <c r="N65" s="79"/>
      <c r="O65" s="170">
        <f>($K$63*K65)+($L$63*L65)+($M$63*M65)+($N$63*N65)</f>
        <v>50</v>
      </c>
      <c r="P65" s="113"/>
      <c r="Q65" s="114"/>
      <c r="R65" s="191"/>
      <c r="S65" s="121"/>
      <c r="T65" s="117"/>
      <c r="U65" s="6"/>
      <c r="V65" s="6"/>
      <c r="W65" s="6"/>
      <c r="X65" s="6"/>
      <c r="Y65" s="6"/>
      <c r="Z65" s="6"/>
      <c r="AA65" s="6"/>
    </row>
    <row r="66" spans="1:27" ht="15" customHeight="1">
      <c r="A66" s="107"/>
      <c r="B66" s="108"/>
      <c r="C66" s="109"/>
      <c r="D66" s="122" t="s">
        <v>107</v>
      </c>
      <c r="E66" s="121"/>
      <c r="F66" s="117"/>
      <c r="G66" s="122" t="s">
        <v>108</v>
      </c>
      <c r="H66" s="121"/>
      <c r="I66" s="121"/>
      <c r="J66" s="117"/>
      <c r="K66" s="78">
        <v>50</v>
      </c>
      <c r="L66" s="78">
        <v>50</v>
      </c>
      <c r="M66" s="80"/>
      <c r="N66" s="81"/>
      <c r="O66" s="171"/>
      <c r="P66" s="172"/>
      <c r="Q66" s="173"/>
      <c r="R66" s="192">
        <f t="shared" ref="R66:R68" si="1">($K$63*K66)+($L$63*L66)+($M$63*M66)+($N$63*N66)</f>
        <v>25</v>
      </c>
      <c r="S66" s="121"/>
      <c r="T66" s="117"/>
      <c r="U66" s="6"/>
      <c r="V66" s="6"/>
      <c r="W66" s="6"/>
      <c r="X66" s="6"/>
      <c r="Y66" s="6"/>
      <c r="Z66" s="6"/>
      <c r="AA66" s="6"/>
    </row>
    <row r="67" spans="1:27" ht="15" customHeight="1">
      <c r="A67" s="107"/>
      <c r="B67" s="108"/>
      <c r="C67" s="109"/>
      <c r="D67" s="122" t="s">
        <v>107</v>
      </c>
      <c r="E67" s="121"/>
      <c r="F67" s="117"/>
      <c r="G67" s="122" t="s">
        <v>109</v>
      </c>
      <c r="H67" s="121"/>
      <c r="I67" s="121"/>
      <c r="J67" s="117"/>
      <c r="K67" s="78">
        <v>50</v>
      </c>
      <c r="L67" s="78"/>
      <c r="N67" s="82"/>
      <c r="O67" s="193"/>
      <c r="P67" s="121"/>
      <c r="Q67" s="117"/>
      <c r="R67" s="192">
        <f t="shared" si="1"/>
        <v>12.5</v>
      </c>
      <c r="S67" s="121"/>
      <c r="T67" s="117"/>
      <c r="U67" s="6"/>
      <c r="V67" s="6"/>
      <c r="W67" s="6"/>
      <c r="X67" s="6"/>
      <c r="Y67" s="6"/>
      <c r="Z67" s="6"/>
      <c r="AA67" s="6"/>
    </row>
    <row r="68" spans="1:27" ht="15" customHeight="1">
      <c r="A68" s="107"/>
      <c r="B68" s="108"/>
      <c r="C68" s="109"/>
      <c r="D68" s="122" t="s">
        <v>107</v>
      </c>
      <c r="E68" s="121"/>
      <c r="F68" s="117"/>
      <c r="G68" s="122" t="s">
        <v>110</v>
      </c>
      <c r="H68" s="121"/>
      <c r="I68" s="121"/>
      <c r="J68" s="117"/>
      <c r="K68" s="78"/>
      <c r="L68" s="78">
        <v>50</v>
      </c>
      <c r="M68" s="78"/>
      <c r="N68" s="79"/>
      <c r="O68" s="171"/>
      <c r="P68" s="172"/>
      <c r="Q68" s="173"/>
      <c r="R68" s="192">
        <f t="shared" si="1"/>
        <v>12.5</v>
      </c>
      <c r="S68" s="121"/>
      <c r="T68" s="117"/>
      <c r="U68" s="6"/>
      <c r="V68" s="6"/>
      <c r="W68" s="6"/>
      <c r="X68" s="6"/>
      <c r="Y68" s="6"/>
      <c r="Z68" s="6"/>
      <c r="AA68" s="6"/>
    </row>
    <row r="69" spans="1:27" ht="15" customHeight="1">
      <c r="A69" s="107"/>
      <c r="B69" s="108"/>
      <c r="C69" s="109"/>
      <c r="D69" s="150" t="s">
        <v>111</v>
      </c>
      <c r="E69" s="121"/>
      <c r="F69" s="121"/>
      <c r="G69" s="121"/>
      <c r="H69" s="121"/>
      <c r="I69" s="121"/>
      <c r="J69" s="117"/>
      <c r="K69" s="83">
        <f t="shared" ref="K69:M69" si="2">SUM(K64:K68)</f>
        <v>100</v>
      </c>
      <c r="L69" s="83">
        <f t="shared" si="2"/>
        <v>100</v>
      </c>
      <c r="M69" s="83">
        <f t="shared" si="2"/>
        <v>100</v>
      </c>
      <c r="N69" s="84"/>
      <c r="O69" s="194">
        <f>SUM(O64:Q68)</f>
        <v>50</v>
      </c>
      <c r="P69" s="121"/>
      <c r="Q69" s="117"/>
      <c r="R69" s="194">
        <f>SUM(R64:T68)</f>
        <v>50</v>
      </c>
      <c r="S69" s="121"/>
      <c r="T69" s="117"/>
      <c r="U69" s="6"/>
      <c r="V69" s="6"/>
      <c r="W69" s="6"/>
      <c r="X69" s="6"/>
      <c r="Y69" s="6"/>
      <c r="Z69" s="6"/>
      <c r="AA69" s="6"/>
    </row>
    <row r="70" spans="1:27" ht="19.5" customHeight="1">
      <c r="A70" s="107"/>
      <c r="B70" s="108"/>
      <c r="C70" s="109"/>
      <c r="D70" s="187" t="s">
        <v>112</v>
      </c>
      <c r="E70" s="121"/>
      <c r="F70" s="121"/>
      <c r="G70" s="121"/>
      <c r="H70" s="121"/>
      <c r="I70" s="121"/>
      <c r="J70" s="117"/>
      <c r="K70" s="200" t="str">
        <f>IF(O69&gt;=50,"Case Method/Team-Based Project","Non Case Method/Team-Based Project")</f>
        <v>Case Method/Team-Based Project</v>
      </c>
      <c r="L70" s="121"/>
      <c r="M70" s="121"/>
      <c r="N70" s="119"/>
      <c r="O70" s="201"/>
      <c r="P70" s="121"/>
      <c r="Q70" s="117"/>
      <c r="R70" s="201"/>
      <c r="S70" s="121"/>
      <c r="T70" s="117"/>
      <c r="U70" s="85"/>
      <c r="V70" s="85"/>
      <c r="W70" s="85"/>
      <c r="X70" s="85"/>
      <c r="Y70" s="85"/>
      <c r="Z70" s="85"/>
      <c r="AA70" s="85"/>
    </row>
    <row r="71" spans="1:27" ht="15" customHeight="1">
      <c r="A71" s="112"/>
      <c r="B71" s="113"/>
      <c r="C71" s="114"/>
      <c r="D71" s="199" t="s">
        <v>113</v>
      </c>
      <c r="E71" s="121"/>
      <c r="F71" s="121"/>
      <c r="G71" s="121"/>
      <c r="H71" s="121"/>
      <c r="I71" s="121"/>
      <c r="J71" s="121"/>
      <c r="K71" s="121"/>
      <c r="L71" s="121"/>
      <c r="M71" s="121"/>
      <c r="N71" s="121"/>
      <c r="O71" s="121"/>
      <c r="P71" s="121"/>
      <c r="Q71" s="121"/>
      <c r="R71" s="121"/>
      <c r="S71" s="121"/>
      <c r="T71" s="117"/>
      <c r="U71" s="6"/>
      <c r="V71" s="6"/>
      <c r="W71" s="6"/>
      <c r="X71" s="6"/>
      <c r="Y71" s="6"/>
      <c r="Z71" s="6"/>
      <c r="AA71" s="6"/>
    </row>
    <row r="72" spans="1:27" ht="14.25" customHeight="1">
      <c r="A72" s="86"/>
      <c r="B72" s="87"/>
      <c r="C72" s="87"/>
      <c r="D72" s="87"/>
      <c r="E72" s="87"/>
      <c r="F72" s="87"/>
      <c r="G72" s="87"/>
      <c r="H72" s="87"/>
      <c r="I72" s="87"/>
      <c r="J72" s="87"/>
      <c r="K72" s="87"/>
      <c r="L72" s="87"/>
      <c r="M72" s="87"/>
      <c r="N72" s="87"/>
      <c r="O72" s="87"/>
      <c r="P72" s="87"/>
      <c r="Q72" s="87"/>
      <c r="R72" s="87"/>
      <c r="S72" s="87"/>
      <c r="T72" s="88"/>
      <c r="U72" s="6"/>
      <c r="V72" s="6"/>
      <c r="W72" s="6"/>
      <c r="X72" s="6"/>
      <c r="Y72" s="6"/>
      <c r="Z72" s="6"/>
      <c r="AA72" s="6"/>
    </row>
    <row r="73" spans="1:27" ht="24.75" customHeight="1">
      <c r="A73" s="202" t="s">
        <v>114</v>
      </c>
      <c r="B73" s="121"/>
      <c r="C73" s="121"/>
      <c r="D73" s="121"/>
      <c r="E73" s="121"/>
      <c r="F73" s="121"/>
      <c r="G73" s="121"/>
      <c r="H73" s="121"/>
      <c r="I73" s="121"/>
      <c r="J73" s="121"/>
      <c r="K73" s="121"/>
      <c r="L73" s="121"/>
      <c r="M73" s="121"/>
      <c r="N73" s="121"/>
      <c r="O73" s="121"/>
      <c r="P73" s="121"/>
      <c r="Q73" s="121"/>
      <c r="R73" s="121"/>
      <c r="S73" s="121"/>
      <c r="T73" s="117"/>
      <c r="U73" s="6"/>
      <c r="V73" s="6"/>
      <c r="W73" s="6"/>
      <c r="X73" s="6"/>
      <c r="Y73" s="6"/>
      <c r="Z73" s="6"/>
      <c r="AA73" s="6"/>
    </row>
    <row r="74" spans="1:27" ht="31.5" customHeight="1">
      <c r="A74" s="124" t="s">
        <v>115</v>
      </c>
      <c r="B74" s="126" t="s">
        <v>116</v>
      </c>
      <c r="C74" s="105"/>
      <c r="D74" s="127"/>
      <c r="E74" s="203" t="s">
        <v>117</v>
      </c>
      <c r="F74" s="121"/>
      <c r="G74" s="121"/>
      <c r="H74" s="121"/>
      <c r="I74" s="117"/>
      <c r="J74" s="126" t="s">
        <v>118</v>
      </c>
      <c r="K74" s="105"/>
      <c r="L74" s="105"/>
      <c r="M74" s="105"/>
      <c r="N74" s="105"/>
      <c r="O74" s="106"/>
      <c r="P74" s="126" t="s">
        <v>119</v>
      </c>
      <c r="Q74" s="105"/>
      <c r="R74" s="105"/>
      <c r="S74" s="106"/>
      <c r="T74" s="124" t="s">
        <v>120</v>
      </c>
      <c r="U74" s="6"/>
      <c r="V74" s="6"/>
      <c r="W74" s="6"/>
      <c r="X74" s="6"/>
      <c r="Y74" s="6"/>
      <c r="Z74" s="6"/>
      <c r="AA74" s="6"/>
    </row>
    <row r="75" spans="1:27" ht="15" customHeight="1">
      <c r="A75" s="125"/>
      <c r="B75" s="107"/>
      <c r="C75" s="108"/>
      <c r="D75" s="128"/>
      <c r="E75" s="126" t="s">
        <v>121</v>
      </c>
      <c r="F75" s="106"/>
      <c r="G75" s="126" t="s">
        <v>122</v>
      </c>
      <c r="H75" s="105"/>
      <c r="I75" s="106"/>
      <c r="J75" s="112"/>
      <c r="K75" s="113"/>
      <c r="L75" s="113"/>
      <c r="M75" s="113"/>
      <c r="N75" s="113"/>
      <c r="O75" s="114"/>
      <c r="P75" s="107"/>
      <c r="Q75" s="108"/>
      <c r="R75" s="108"/>
      <c r="S75" s="109"/>
      <c r="T75" s="125"/>
      <c r="U75" s="6"/>
      <c r="V75" s="6"/>
      <c r="W75" s="6"/>
      <c r="X75" s="6"/>
      <c r="Y75" s="6"/>
      <c r="Z75" s="6"/>
      <c r="AA75" s="6"/>
    </row>
    <row r="76" spans="1:27" ht="15" customHeight="1">
      <c r="A76" s="111"/>
      <c r="B76" s="112"/>
      <c r="C76" s="113"/>
      <c r="D76" s="129"/>
      <c r="E76" s="112"/>
      <c r="F76" s="114"/>
      <c r="G76" s="112"/>
      <c r="H76" s="113"/>
      <c r="I76" s="114"/>
      <c r="J76" s="203" t="s">
        <v>123</v>
      </c>
      <c r="K76" s="121"/>
      <c r="L76" s="117"/>
      <c r="M76" s="203" t="s">
        <v>124</v>
      </c>
      <c r="N76" s="121"/>
      <c r="O76" s="117"/>
      <c r="P76" s="195"/>
      <c r="Q76" s="196"/>
      <c r="R76" s="196"/>
      <c r="S76" s="197"/>
      <c r="T76" s="198"/>
      <c r="U76" s="6"/>
      <c r="V76" s="6"/>
      <c r="W76" s="6"/>
      <c r="X76" s="6"/>
      <c r="Y76" s="6"/>
      <c r="Z76" s="6"/>
      <c r="AA76" s="6"/>
    </row>
    <row r="77" spans="1:27" ht="120.75" customHeight="1">
      <c r="A77" s="89">
        <v>1</v>
      </c>
      <c r="B77" s="130" t="s">
        <v>125</v>
      </c>
      <c r="C77" s="121"/>
      <c r="D77" s="117"/>
      <c r="E77" s="130" t="s">
        <v>126</v>
      </c>
      <c r="F77" s="117"/>
      <c r="G77" s="130" t="s">
        <v>127</v>
      </c>
      <c r="H77" s="121"/>
      <c r="I77" s="117"/>
      <c r="J77" s="130" t="s">
        <v>128</v>
      </c>
      <c r="K77" s="121"/>
      <c r="L77" s="117"/>
      <c r="M77" s="130" t="s">
        <v>129</v>
      </c>
      <c r="N77" s="121"/>
      <c r="O77" s="121"/>
      <c r="P77" s="199" t="s">
        <v>130</v>
      </c>
      <c r="Q77" s="121"/>
      <c r="R77" s="121"/>
      <c r="S77" s="117"/>
      <c r="T77" s="90"/>
      <c r="U77" s="5"/>
      <c r="V77" s="5"/>
      <c r="W77" s="5"/>
      <c r="X77" s="5"/>
      <c r="Y77" s="5"/>
      <c r="Z77" s="5"/>
      <c r="AA77" s="5"/>
    </row>
    <row r="78" spans="1:27" ht="107.25" customHeight="1">
      <c r="A78" s="89">
        <v>2</v>
      </c>
      <c r="B78" s="130" t="s">
        <v>131</v>
      </c>
      <c r="C78" s="121"/>
      <c r="D78" s="117"/>
      <c r="E78" s="130" t="s">
        <v>126</v>
      </c>
      <c r="F78" s="117"/>
      <c r="G78" s="130" t="s">
        <v>132</v>
      </c>
      <c r="H78" s="121"/>
      <c r="I78" s="117"/>
      <c r="J78" s="130" t="s">
        <v>133</v>
      </c>
      <c r="K78" s="121"/>
      <c r="L78" s="117"/>
      <c r="M78" s="130" t="s">
        <v>134</v>
      </c>
      <c r="N78" s="121"/>
      <c r="O78" s="121"/>
      <c r="P78" s="174" t="s">
        <v>135</v>
      </c>
      <c r="Q78" s="121"/>
      <c r="R78" s="121"/>
      <c r="S78" s="117"/>
      <c r="T78" s="90"/>
      <c r="U78" s="5"/>
      <c r="V78" s="5"/>
      <c r="W78" s="5"/>
      <c r="X78" s="5"/>
      <c r="Y78" s="5"/>
      <c r="Z78" s="5"/>
      <c r="AA78" s="5"/>
    </row>
    <row r="79" spans="1:27" ht="98.25" customHeight="1">
      <c r="A79" s="89">
        <v>3</v>
      </c>
      <c r="B79" s="130" t="s">
        <v>136</v>
      </c>
      <c r="C79" s="121"/>
      <c r="D79" s="117"/>
      <c r="E79" s="130" t="s">
        <v>126</v>
      </c>
      <c r="F79" s="117"/>
      <c r="G79" s="130" t="s">
        <v>137</v>
      </c>
      <c r="H79" s="121"/>
      <c r="I79" s="117"/>
      <c r="J79" s="130" t="s">
        <v>138</v>
      </c>
      <c r="K79" s="121"/>
      <c r="L79" s="117"/>
      <c r="M79" s="130" t="s">
        <v>139</v>
      </c>
      <c r="N79" s="121"/>
      <c r="O79" s="121"/>
      <c r="P79" s="174" t="s">
        <v>140</v>
      </c>
      <c r="Q79" s="121"/>
      <c r="R79" s="121"/>
      <c r="S79" s="117"/>
      <c r="T79" s="90">
        <v>0.125</v>
      </c>
      <c r="U79" s="5"/>
      <c r="V79" s="5"/>
      <c r="W79" s="5"/>
      <c r="X79" s="5"/>
      <c r="Y79" s="5"/>
      <c r="Z79" s="5"/>
      <c r="AA79" s="5"/>
    </row>
    <row r="80" spans="1:27" ht="91.5" customHeight="1">
      <c r="A80" s="89">
        <v>4</v>
      </c>
      <c r="B80" s="130" t="s">
        <v>141</v>
      </c>
      <c r="C80" s="121"/>
      <c r="D80" s="117"/>
      <c r="E80" s="130" t="s">
        <v>126</v>
      </c>
      <c r="F80" s="117"/>
      <c r="G80" s="130" t="s">
        <v>142</v>
      </c>
      <c r="H80" s="121"/>
      <c r="I80" s="117"/>
      <c r="J80" s="130" t="s">
        <v>143</v>
      </c>
      <c r="K80" s="121"/>
      <c r="L80" s="117"/>
      <c r="M80" s="130" t="s">
        <v>144</v>
      </c>
      <c r="N80" s="121"/>
      <c r="O80" s="121"/>
      <c r="P80" s="174" t="s">
        <v>140</v>
      </c>
      <c r="Q80" s="121"/>
      <c r="R80" s="121"/>
      <c r="S80" s="117"/>
      <c r="T80" s="90"/>
      <c r="U80" s="5"/>
      <c r="V80" s="5"/>
      <c r="W80" s="5"/>
      <c r="X80" s="5"/>
      <c r="Y80" s="5"/>
      <c r="Z80" s="5"/>
      <c r="AA80" s="5"/>
    </row>
    <row r="81" spans="1:27" ht="102.75" customHeight="1">
      <c r="A81" s="89">
        <v>5</v>
      </c>
      <c r="B81" s="130" t="s">
        <v>145</v>
      </c>
      <c r="C81" s="121"/>
      <c r="D81" s="117"/>
      <c r="E81" s="130" t="s">
        <v>126</v>
      </c>
      <c r="F81" s="117"/>
      <c r="G81" s="130" t="s">
        <v>146</v>
      </c>
      <c r="H81" s="121"/>
      <c r="I81" s="117"/>
      <c r="J81" s="130" t="s">
        <v>147</v>
      </c>
      <c r="K81" s="121"/>
      <c r="L81" s="117"/>
      <c r="M81" s="130" t="s">
        <v>148</v>
      </c>
      <c r="N81" s="121"/>
      <c r="O81" s="121"/>
      <c r="P81" s="174" t="s">
        <v>140</v>
      </c>
      <c r="Q81" s="121"/>
      <c r="R81" s="121"/>
      <c r="S81" s="117"/>
      <c r="T81" s="90"/>
      <c r="U81" s="5"/>
      <c r="V81" s="5"/>
      <c r="W81" s="5"/>
      <c r="X81" s="5"/>
      <c r="Y81" s="5"/>
      <c r="Z81" s="5"/>
      <c r="AA81" s="5"/>
    </row>
    <row r="82" spans="1:27" ht="84" customHeight="1">
      <c r="A82" s="89">
        <v>6</v>
      </c>
      <c r="B82" s="130" t="s">
        <v>149</v>
      </c>
      <c r="C82" s="121"/>
      <c r="D82" s="117"/>
      <c r="E82" s="130" t="s">
        <v>126</v>
      </c>
      <c r="F82" s="117"/>
      <c r="G82" s="130" t="s">
        <v>146</v>
      </c>
      <c r="H82" s="121"/>
      <c r="I82" s="117"/>
      <c r="J82" s="130" t="s">
        <v>150</v>
      </c>
      <c r="K82" s="121"/>
      <c r="L82" s="117"/>
      <c r="M82" s="130" t="s">
        <v>151</v>
      </c>
      <c r="N82" s="121"/>
      <c r="O82" s="121"/>
      <c r="P82" s="174" t="s">
        <v>140</v>
      </c>
      <c r="Q82" s="121"/>
      <c r="R82" s="121"/>
      <c r="S82" s="117"/>
      <c r="T82" s="90"/>
      <c r="U82" s="5"/>
      <c r="V82" s="5"/>
      <c r="W82" s="5"/>
      <c r="X82" s="5"/>
      <c r="Y82" s="5"/>
      <c r="Z82" s="5"/>
      <c r="AA82" s="5"/>
    </row>
    <row r="83" spans="1:27" ht="81" customHeight="1">
      <c r="A83" s="89">
        <v>7</v>
      </c>
      <c r="B83" s="130" t="s">
        <v>152</v>
      </c>
      <c r="C83" s="121"/>
      <c r="D83" s="117"/>
      <c r="E83" s="130" t="s">
        <v>126</v>
      </c>
      <c r="F83" s="117"/>
      <c r="G83" s="130" t="s">
        <v>153</v>
      </c>
      <c r="H83" s="121"/>
      <c r="I83" s="117"/>
      <c r="J83" s="130" t="s">
        <v>154</v>
      </c>
      <c r="K83" s="121"/>
      <c r="L83" s="117"/>
      <c r="M83" s="130" t="s">
        <v>155</v>
      </c>
      <c r="N83" s="121"/>
      <c r="O83" s="121"/>
      <c r="P83" s="174" t="s">
        <v>140</v>
      </c>
      <c r="Q83" s="121"/>
      <c r="R83" s="121"/>
      <c r="S83" s="117"/>
      <c r="T83" s="90"/>
      <c r="U83" s="5"/>
      <c r="V83" s="5"/>
      <c r="W83" s="5"/>
      <c r="X83" s="5"/>
      <c r="Y83" s="5"/>
      <c r="Z83" s="5"/>
      <c r="AA83" s="5"/>
    </row>
    <row r="84" spans="1:27" ht="15" customHeight="1">
      <c r="A84" s="91">
        <v>8</v>
      </c>
      <c r="B84" s="175" t="s">
        <v>156</v>
      </c>
      <c r="C84" s="163"/>
      <c r="D84" s="163"/>
      <c r="E84" s="163"/>
      <c r="F84" s="163"/>
      <c r="G84" s="163"/>
      <c r="H84" s="163"/>
      <c r="I84" s="163"/>
      <c r="J84" s="163"/>
      <c r="K84" s="163"/>
      <c r="L84" s="163"/>
      <c r="M84" s="163"/>
      <c r="N84" s="163"/>
      <c r="O84" s="163"/>
      <c r="P84" s="163"/>
      <c r="Q84" s="163"/>
      <c r="R84" s="163"/>
      <c r="S84" s="176"/>
      <c r="T84" s="92">
        <v>0.125</v>
      </c>
      <c r="U84" s="6"/>
      <c r="V84" s="6"/>
      <c r="W84" s="6"/>
      <c r="X84" s="6"/>
      <c r="Y84" s="6"/>
      <c r="Z84" s="6"/>
      <c r="AA84" s="6"/>
    </row>
    <row r="85" spans="1:27" ht="79.5" customHeight="1">
      <c r="A85" s="89">
        <v>9</v>
      </c>
      <c r="B85" s="130" t="s">
        <v>157</v>
      </c>
      <c r="C85" s="121"/>
      <c r="D85" s="117"/>
      <c r="E85" s="130" t="s">
        <v>158</v>
      </c>
      <c r="F85" s="117"/>
      <c r="G85" s="130" t="s">
        <v>146</v>
      </c>
      <c r="H85" s="121"/>
      <c r="I85" s="117"/>
      <c r="J85" s="130" t="s">
        <v>159</v>
      </c>
      <c r="K85" s="121"/>
      <c r="L85" s="117"/>
      <c r="M85" s="130" t="s">
        <v>160</v>
      </c>
      <c r="N85" s="121"/>
      <c r="O85" s="121"/>
      <c r="P85" s="130" t="s">
        <v>140</v>
      </c>
      <c r="Q85" s="121"/>
      <c r="R85" s="121"/>
      <c r="S85" s="117"/>
      <c r="T85" s="90"/>
      <c r="U85" s="5"/>
      <c r="V85" s="5"/>
      <c r="W85" s="5"/>
      <c r="X85" s="5"/>
      <c r="Y85" s="5"/>
      <c r="Z85" s="5"/>
      <c r="AA85" s="5"/>
    </row>
    <row r="86" spans="1:27" ht="86.25" customHeight="1">
      <c r="A86" s="93">
        <v>10</v>
      </c>
      <c r="B86" s="130" t="s">
        <v>161</v>
      </c>
      <c r="C86" s="121"/>
      <c r="D86" s="117"/>
      <c r="E86" s="130" t="s">
        <v>158</v>
      </c>
      <c r="F86" s="117"/>
      <c r="G86" s="130" t="s">
        <v>162</v>
      </c>
      <c r="H86" s="121"/>
      <c r="I86" s="117"/>
      <c r="J86" s="130" t="s">
        <v>163</v>
      </c>
      <c r="K86" s="121"/>
      <c r="L86" s="117"/>
      <c r="M86" s="130" t="s">
        <v>164</v>
      </c>
      <c r="N86" s="121"/>
      <c r="O86" s="121"/>
      <c r="P86" s="130" t="s">
        <v>140</v>
      </c>
      <c r="Q86" s="121"/>
      <c r="R86" s="121"/>
      <c r="S86" s="117"/>
      <c r="T86" s="90">
        <v>0.125</v>
      </c>
      <c r="U86" s="5"/>
      <c r="V86" s="5"/>
      <c r="W86" s="5"/>
      <c r="X86" s="5"/>
      <c r="Y86" s="5"/>
      <c r="Z86" s="5"/>
      <c r="AA86" s="5"/>
    </row>
    <row r="87" spans="1:27" ht="114.75" customHeight="1">
      <c r="A87" s="89">
        <v>11</v>
      </c>
      <c r="B87" s="130" t="s">
        <v>165</v>
      </c>
      <c r="C87" s="121"/>
      <c r="D87" s="117"/>
      <c r="E87" s="130" t="s">
        <v>158</v>
      </c>
      <c r="F87" s="117"/>
      <c r="G87" s="130" t="s">
        <v>146</v>
      </c>
      <c r="H87" s="121"/>
      <c r="I87" s="117"/>
      <c r="J87" s="130" t="s">
        <v>166</v>
      </c>
      <c r="K87" s="121"/>
      <c r="L87" s="117"/>
      <c r="M87" s="130" t="s">
        <v>167</v>
      </c>
      <c r="N87" s="121"/>
      <c r="O87" s="121"/>
      <c r="P87" s="130" t="s">
        <v>140</v>
      </c>
      <c r="Q87" s="121"/>
      <c r="R87" s="121"/>
      <c r="S87" s="117"/>
      <c r="T87" s="90"/>
      <c r="U87" s="5"/>
      <c r="V87" s="5"/>
      <c r="W87" s="5"/>
      <c r="X87" s="5"/>
      <c r="Y87" s="5"/>
      <c r="Z87" s="5"/>
      <c r="AA87" s="5"/>
    </row>
    <row r="88" spans="1:27" ht="78.75" customHeight="1">
      <c r="A88" s="93">
        <v>12</v>
      </c>
      <c r="B88" s="130" t="s">
        <v>168</v>
      </c>
      <c r="C88" s="121"/>
      <c r="D88" s="117"/>
      <c r="E88" s="130" t="s">
        <v>158</v>
      </c>
      <c r="F88" s="117"/>
      <c r="G88" s="130" t="s">
        <v>146</v>
      </c>
      <c r="H88" s="121"/>
      <c r="I88" s="117"/>
      <c r="J88" s="130" t="s">
        <v>169</v>
      </c>
      <c r="K88" s="121"/>
      <c r="L88" s="117"/>
      <c r="M88" s="130" t="s">
        <v>170</v>
      </c>
      <c r="N88" s="121"/>
      <c r="O88" s="121"/>
      <c r="P88" s="130" t="s">
        <v>140</v>
      </c>
      <c r="Q88" s="121"/>
      <c r="R88" s="121"/>
      <c r="S88" s="117"/>
      <c r="T88" s="90"/>
      <c r="U88" s="5"/>
      <c r="V88" s="5"/>
      <c r="W88" s="5"/>
      <c r="X88" s="5"/>
      <c r="Y88" s="5"/>
      <c r="Z88" s="5"/>
      <c r="AA88" s="5"/>
    </row>
    <row r="89" spans="1:27" ht="82.5" customHeight="1">
      <c r="A89" s="89">
        <v>13</v>
      </c>
      <c r="B89" s="130" t="s">
        <v>171</v>
      </c>
      <c r="C89" s="121"/>
      <c r="D89" s="117"/>
      <c r="E89" s="130" t="s">
        <v>158</v>
      </c>
      <c r="F89" s="117"/>
      <c r="G89" s="130" t="s">
        <v>172</v>
      </c>
      <c r="H89" s="121"/>
      <c r="I89" s="117"/>
      <c r="J89" s="130" t="s">
        <v>173</v>
      </c>
      <c r="K89" s="121"/>
      <c r="L89" s="117"/>
      <c r="M89" s="130" t="s">
        <v>174</v>
      </c>
      <c r="N89" s="121"/>
      <c r="O89" s="121"/>
      <c r="P89" s="130" t="s">
        <v>175</v>
      </c>
      <c r="Q89" s="121"/>
      <c r="R89" s="121"/>
      <c r="S89" s="117"/>
      <c r="T89" s="90">
        <v>0.15</v>
      </c>
      <c r="U89" s="5"/>
      <c r="V89" s="5"/>
      <c r="W89" s="5"/>
      <c r="X89" s="5"/>
      <c r="Y89" s="5"/>
      <c r="Z89" s="5"/>
      <c r="AA89" s="5"/>
    </row>
    <row r="90" spans="1:27" ht="95.25" customHeight="1">
      <c r="A90" s="93">
        <v>14</v>
      </c>
      <c r="B90" s="130" t="s">
        <v>176</v>
      </c>
      <c r="C90" s="121"/>
      <c r="D90" s="117"/>
      <c r="E90" s="130" t="s">
        <v>158</v>
      </c>
      <c r="F90" s="117"/>
      <c r="G90" s="130" t="s">
        <v>172</v>
      </c>
      <c r="H90" s="121"/>
      <c r="I90" s="117"/>
      <c r="J90" s="130" t="s">
        <v>177</v>
      </c>
      <c r="K90" s="121"/>
      <c r="L90" s="117"/>
      <c r="M90" s="130" t="s">
        <v>178</v>
      </c>
      <c r="N90" s="121"/>
      <c r="O90" s="121"/>
      <c r="P90" s="130" t="s">
        <v>179</v>
      </c>
      <c r="Q90" s="121"/>
      <c r="R90" s="121"/>
      <c r="S90" s="117"/>
      <c r="T90" s="90">
        <v>0.15</v>
      </c>
      <c r="U90" s="5"/>
      <c r="V90" s="5"/>
      <c r="W90" s="5"/>
      <c r="X90" s="5"/>
      <c r="Y90" s="5"/>
      <c r="Z90" s="5"/>
      <c r="AA90" s="5"/>
    </row>
    <row r="91" spans="1:27" ht="101.25" customHeight="1">
      <c r="A91" s="89">
        <v>15</v>
      </c>
      <c r="B91" s="130" t="s">
        <v>180</v>
      </c>
      <c r="C91" s="121"/>
      <c r="D91" s="117"/>
      <c r="E91" s="130" t="s">
        <v>158</v>
      </c>
      <c r="F91" s="117"/>
      <c r="G91" s="130" t="s">
        <v>172</v>
      </c>
      <c r="H91" s="121"/>
      <c r="I91" s="117"/>
      <c r="J91" s="130" t="s">
        <v>181</v>
      </c>
      <c r="K91" s="121"/>
      <c r="L91" s="117"/>
      <c r="M91" s="177" t="s">
        <v>182</v>
      </c>
      <c r="N91" s="121"/>
      <c r="O91" s="121"/>
      <c r="P91" s="130" t="s">
        <v>183</v>
      </c>
      <c r="Q91" s="121"/>
      <c r="R91" s="121"/>
      <c r="S91" s="117"/>
      <c r="T91" s="90">
        <v>0.2</v>
      </c>
      <c r="U91" s="5"/>
      <c r="V91" s="5"/>
      <c r="W91" s="5"/>
      <c r="X91" s="5"/>
      <c r="Y91" s="5"/>
      <c r="Z91" s="5"/>
      <c r="AA91" s="5"/>
    </row>
    <row r="92" spans="1:27" ht="15" customHeight="1">
      <c r="A92" s="94">
        <v>16</v>
      </c>
      <c r="B92" s="178" t="s">
        <v>184</v>
      </c>
      <c r="C92" s="121"/>
      <c r="D92" s="121"/>
      <c r="E92" s="121"/>
      <c r="F92" s="121"/>
      <c r="G92" s="121"/>
      <c r="H92" s="121"/>
      <c r="I92" s="121"/>
      <c r="J92" s="121"/>
      <c r="K92" s="121"/>
      <c r="L92" s="121"/>
      <c r="M92" s="121"/>
      <c r="N92" s="121"/>
      <c r="O92" s="121"/>
      <c r="P92" s="121"/>
      <c r="Q92" s="121"/>
      <c r="R92" s="121"/>
      <c r="S92" s="117"/>
      <c r="T92" s="95">
        <v>0.125</v>
      </c>
      <c r="U92" s="6"/>
      <c r="V92" s="6"/>
      <c r="W92" s="6"/>
      <c r="X92" s="6"/>
      <c r="Y92" s="6"/>
      <c r="Z92" s="6"/>
      <c r="AA92" s="6"/>
    </row>
    <row r="93" spans="1:27" ht="15" customHeight="1">
      <c r="A93" s="131" t="s">
        <v>185</v>
      </c>
      <c r="B93" s="121"/>
      <c r="C93" s="121"/>
      <c r="D93" s="121"/>
      <c r="E93" s="121"/>
      <c r="F93" s="121"/>
      <c r="G93" s="121"/>
      <c r="H93" s="121"/>
      <c r="I93" s="121"/>
      <c r="J93" s="121"/>
      <c r="K93" s="121"/>
      <c r="L93" s="121"/>
      <c r="M93" s="121"/>
      <c r="N93" s="121"/>
      <c r="O93" s="121"/>
      <c r="P93" s="121"/>
      <c r="Q93" s="121"/>
      <c r="R93" s="121"/>
      <c r="S93" s="119"/>
      <c r="T93" s="96">
        <v>1</v>
      </c>
      <c r="U93" s="97"/>
      <c r="V93" s="97"/>
      <c r="W93" s="97"/>
      <c r="X93" s="97"/>
      <c r="Y93" s="97"/>
      <c r="Z93" s="97"/>
      <c r="AA93" s="97"/>
    </row>
    <row r="94" spans="1:27" ht="14.25" customHeight="1">
      <c r="A94" s="98"/>
      <c r="B94" s="98"/>
      <c r="C94" s="98"/>
      <c r="D94" s="22"/>
      <c r="E94" s="22"/>
      <c r="F94" s="22"/>
      <c r="G94" s="22"/>
      <c r="H94" s="22"/>
      <c r="I94" s="22"/>
      <c r="J94" s="22"/>
      <c r="K94" s="22"/>
      <c r="L94" s="22"/>
      <c r="M94" s="22"/>
      <c r="N94" s="22"/>
      <c r="O94" s="22"/>
      <c r="P94" s="22"/>
      <c r="Q94" s="22"/>
      <c r="R94" s="22"/>
      <c r="S94" s="22"/>
      <c r="T94" s="99"/>
      <c r="U94" s="6"/>
      <c r="V94" s="6"/>
      <c r="W94" s="6"/>
      <c r="X94" s="6"/>
      <c r="Y94" s="6"/>
      <c r="Z94" s="6"/>
      <c r="AA94" s="6"/>
    </row>
    <row r="95" spans="1:27" ht="14.25" customHeight="1">
      <c r="A95" s="7"/>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4.25" customHeight="1">
      <c r="A96" s="100" t="s">
        <v>186</v>
      </c>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30" customHeight="1">
      <c r="A97" s="101">
        <v>1</v>
      </c>
      <c r="B97" s="179" t="s">
        <v>187</v>
      </c>
      <c r="C97" s="105"/>
      <c r="D97" s="105"/>
      <c r="E97" s="105"/>
      <c r="F97" s="105"/>
      <c r="G97" s="105"/>
      <c r="H97" s="105"/>
      <c r="I97" s="105"/>
      <c r="J97" s="105"/>
      <c r="K97" s="105"/>
      <c r="L97" s="105"/>
      <c r="M97" s="105"/>
      <c r="N97" s="105"/>
      <c r="O97" s="105"/>
      <c r="P97" s="105"/>
      <c r="Q97" s="105"/>
      <c r="R97" s="105"/>
      <c r="S97" s="105"/>
      <c r="T97" s="106"/>
      <c r="U97" s="6"/>
      <c r="V97" s="6"/>
      <c r="W97" s="6"/>
      <c r="X97" s="6"/>
      <c r="Y97" s="6"/>
      <c r="Z97" s="6"/>
      <c r="AA97" s="6"/>
    </row>
    <row r="98" spans="1:27" ht="30" customHeight="1">
      <c r="A98" s="102">
        <v>2</v>
      </c>
      <c r="B98" s="180" t="s">
        <v>188</v>
      </c>
      <c r="C98" s="108"/>
      <c r="D98" s="108"/>
      <c r="E98" s="108"/>
      <c r="F98" s="108"/>
      <c r="G98" s="108"/>
      <c r="H98" s="108"/>
      <c r="I98" s="108"/>
      <c r="J98" s="108"/>
      <c r="K98" s="108"/>
      <c r="L98" s="108"/>
      <c r="M98" s="108"/>
      <c r="N98" s="108"/>
      <c r="O98" s="108"/>
      <c r="P98" s="108"/>
      <c r="Q98" s="108"/>
      <c r="R98" s="108"/>
      <c r="S98" s="108"/>
      <c r="T98" s="109"/>
      <c r="U98" s="6"/>
      <c r="V98" s="6"/>
      <c r="W98" s="6"/>
      <c r="X98" s="6"/>
      <c r="Y98" s="6"/>
      <c r="Z98" s="6"/>
      <c r="AA98" s="6"/>
    </row>
    <row r="99" spans="1:27" ht="15" customHeight="1">
      <c r="A99" s="102">
        <v>3</v>
      </c>
      <c r="B99" s="180" t="s">
        <v>189</v>
      </c>
      <c r="C99" s="108"/>
      <c r="D99" s="108"/>
      <c r="E99" s="108"/>
      <c r="F99" s="108"/>
      <c r="G99" s="108"/>
      <c r="H99" s="108"/>
      <c r="I99" s="108"/>
      <c r="J99" s="108"/>
      <c r="K99" s="108"/>
      <c r="L99" s="108"/>
      <c r="M99" s="108"/>
      <c r="N99" s="108"/>
      <c r="O99" s="108"/>
      <c r="P99" s="108"/>
      <c r="Q99" s="108"/>
      <c r="R99" s="108"/>
      <c r="S99" s="108"/>
      <c r="T99" s="109"/>
      <c r="U99" s="6"/>
      <c r="V99" s="6"/>
      <c r="W99" s="6"/>
      <c r="X99" s="6"/>
      <c r="Y99" s="6"/>
      <c r="Z99" s="6"/>
      <c r="AA99" s="6"/>
    </row>
    <row r="100" spans="1:27" ht="30" customHeight="1">
      <c r="A100" s="102">
        <v>4</v>
      </c>
      <c r="B100" s="180" t="s">
        <v>190</v>
      </c>
      <c r="C100" s="108"/>
      <c r="D100" s="108"/>
      <c r="E100" s="108"/>
      <c r="F100" s="108"/>
      <c r="G100" s="108"/>
      <c r="H100" s="108"/>
      <c r="I100" s="108"/>
      <c r="J100" s="108"/>
      <c r="K100" s="108"/>
      <c r="L100" s="108"/>
      <c r="M100" s="108"/>
      <c r="N100" s="108"/>
      <c r="O100" s="108"/>
      <c r="P100" s="108"/>
      <c r="Q100" s="108"/>
      <c r="R100" s="108"/>
      <c r="S100" s="108"/>
      <c r="T100" s="109"/>
      <c r="U100" s="6"/>
      <c r="V100" s="6"/>
      <c r="W100" s="6"/>
      <c r="X100" s="6"/>
      <c r="Y100" s="6"/>
      <c r="Z100" s="6"/>
      <c r="AA100" s="6"/>
    </row>
    <row r="101" spans="1:27" ht="30" customHeight="1">
      <c r="A101" s="102">
        <v>5</v>
      </c>
      <c r="B101" s="180" t="s">
        <v>191</v>
      </c>
      <c r="C101" s="108"/>
      <c r="D101" s="108"/>
      <c r="E101" s="108"/>
      <c r="F101" s="108"/>
      <c r="G101" s="108"/>
      <c r="H101" s="108"/>
      <c r="I101" s="108"/>
      <c r="J101" s="108"/>
      <c r="K101" s="108"/>
      <c r="L101" s="108"/>
      <c r="M101" s="108"/>
      <c r="N101" s="108"/>
      <c r="O101" s="108"/>
      <c r="P101" s="108"/>
      <c r="Q101" s="108"/>
      <c r="R101" s="108"/>
      <c r="S101" s="108"/>
      <c r="T101" s="109"/>
      <c r="U101" s="6"/>
      <c r="V101" s="6"/>
      <c r="W101" s="6"/>
      <c r="X101" s="6"/>
      <c r="Y101" s="6"/>
      <c r="Z101" s="6"/>
      <c r="AA101" s="6"/>
    </row>
    <row r="102" spans="1:27" ht="30" customHeight="1">
      <c r="A102" s="102">
        <v>6</v>
      </c>
      <c r="B102" s="180" t="s">
        <v>192</v>
      </c>
      <c r="C102" s="108"/>
      <c r="D102" s="108"/>
      <c r="E102" s="108"/>
      <c r="F102" s="108"/>
      <c r="G102" s="108"/>
      <c r="H102" s="108"/>
      <c r="I102" s="108"/>
      <c r="J102" s="108"/>
      <c r="K102" s="108"/>
      <c r="L102" s="108"/>
      <c r="M102" s="108"/>
      <c r="N102" s="108"/>
      <c r="O102" s="108"/>
      <c r="P102" s="108"/>
      <c r="Q102" s="108"/>
      <c r="R102" s="108"/>
      <c r="S102" s="108"/>
      <c r="T102" s="109"/>
      <c r="U102" s="6"/>
      <c r="V102" s="6"/>
      <c r="W102" s="6"/>
      <c r="X102" s="6"/>
      <c r="Y102" s="6"/>
      <c r="Z102" s="6"/>
      <c r="AA102" s="6"/>
    </row>
    <row r="103" spans="1:27" ht="15" customHeight="1">
      <c r="A103" s="102">
        <v>7</v>
      </c>
      <c r="B103" s="180" t="s">
        <v>193</v>
      </c>
      <c r="C103" s="108"/>
      <c r="D103" s="108"/>
      <c r="E103" s="108"/>
      <c r="F103" s="108"/>
      <c r="G103" s="108"/>
      <c r="H103" s="108"/>
      <c r="I103" s="108"/>
      <c r="J103" s="108"/>
      <c r="K103" s="108"/>
      <c r="L103" s="108"/>
      <c r="M103" s="108"/>
      <c r="N103" s="108"/>
      <c r="O103" s="108"/>
      <c r="P103" s="108"/>
      <c r="Q103" s="108"/>
      <c r="R103" s="108"/>
      <c r="S103" s="108"/>
      <c r="T103" s="109"/>
      <c r="U103" s="6"/>
      <c r="V103" s="6"/>
      <c r="W103" s="6"/>
      <c r="X103" s="6"/>
      <c r="Y103" s="6"/>
      <c r="Z103" s="6"/>
      <c r="AA103" s="6"/>
    </row>
    <row r="104" spans="1:27" ht="30" customHeight="1">
      <c r="A104" s="102">
        <v>8</v>
      </c>
      <c r="B104" s="180" t="s">
        <v>194</v>
      </c>
      <c r="C104" s="108"/>
      <c r="D104" s="108"/>
      <c r="E104" s="108"/>
      <c r="F104" s="108"/>
      <c r="G104" s="108"/>
      <c r="H104" s="108"/>
      <c r="I104" s="108"/>
      <c r="J104" s="108"/>
      <c r="K104" s="108"/>
      <c r="L104" s="108"/>
      <c r="M104" s="108"/>
      <c r="N104" s="108"/>
      <c r="O104" s="108"/>
      <c r="P104" s="108"/>
      <c r="Q104" s="108"/>
      <c r="R104" s="108"/>
      <c r="S104" s="108"/>
      <c r="T104" s="109"/>
      <c r="U104" s="6"/>
      <c r="V104" s="6"/>
      <c r="W104" s="6"/>
      <c r="X104" s="6"/>
      <c r="Y104" s="6"/>
      <c r="Z104" s="6"/>
      <c r="AA104" s="6"/>
    </row>
    <row r="105" spans="1:27" ht="30" customHeight="1">
      <c r="A105" s="102">
        <v>9</v>
      </c>
      <c r="B105" s="184" t="s">
        <v>195</v>
      </c>
      <c r="C105" s="108"/>
      <c r="D105" s="108"/>
      <c r="E105" s="108"/>
      <c r="F105" s="108"/>
      <c r="G105" s="108"/>
      <c r="H105" s="108"/>
      <c r="I105" s="108"/>
      <c r="J105" s="108"/>
      <c r="K105" s="108"/>
      <c r="L105" s="108"/>
      <c r="M105" s="108"/>
      <c r="N105" s="108"/>
      <c r="O105" s="108"/>
      <c r="P105" s="108"/>
      <c r="Q105" s="108"/>
      <c r="R105" s="108"/>
      <c r="S105" s="108"/>
      <c r="T105" s="109"/>
      <c r="U105" s="6"/>
      <c r="V105" s="6"/>
      <c r="W105" s="6"/>
      <c r="X105" s="6"/>
      <c r="Y105" s="6"/>
      <c r="Z105" s="6"/>
      <c r="AA105" s="6"/>
    </row>
    <row r="106" spans="1:27" ht="30" customHeight="1">
      <c r="A106" s="102">
        <v>10</v>
      </c>
      <c r="B106" s="184" t="s">
        <v>196</v>
      </c>
      <c r="C106" s="108"/>
      <c r="D106" s="108"/>
      <c r="E106" s="108"/>
      <c r="F106" s="108"/>
      <c r="G106" s="108"/>
      <c r="H106" s="108"/>
      <c r="I106" s="108"/>
      <c r="J106" s="108"/>
      <c r="K106" s="108"/>
      <c r="L106" s="108"/>
      <c r="M106" s="108"/>
      <c r="N106" s="108"/>
      <c r="O106" s="108"/>
      <c r="P106" s="108"/>
      <c r="Q106" s="108"/>
      <c r="R106" s="108"/>
      <c r="S106" s="108"/>
      <c r="T106" s="109"/>
      <c r="U106" s="6"/>
      <c r="V106" s="6"/>
      <c r="W106" s="6"/>
      <c r="X106" s="6"/>
      <c r="Y106" s="6"/>
      <c r="Z106" s="6"/>
      <c r="AA106" s="6"/>
    </row>
    <row r="107" spans="1:27" ht="30" customHeight="1">
      <c r="A107" s="102">
        <v>11</v>
      </c>
      <c r="B107" s="180" t="s">
        <v>197</v>
      </c>
      <c r="C107" s="108"/>
      <c r="D107" s="108"/>
      <c r="E107" s="108"/>
      <c r="F107" s="108"/>
      <c r="G107" s="108"/>
      <c r="H107" s="108"/>
      <c r="I107" s="108"/>
      <c r="J107" s="108"/>
      <c r="K107" s="108"/>
      <c r="L107" s="108"/>
      <c r="M107" s="108"/>
      <c r="N107" s="108"/>
      <c r="O107" s="108"/>
      <c r="P107" s="108"/>
      <c r="Q107" s="108"/>
      <c r="R107" s="108"/>
      <c r="S107" s="108"/>
      <c r="T107" s="109"/>
      <c r="U107" s="6"/>
      <c r="V107" s="6"/>
      <c r="W107" s="6"/>
      <c r="X107" s="6"/>
      <c r="Y107" s="6"/>
      <c r="Z107" s="6"/>
      <c r="AA107" s="6"/>
    </row>
    <row r="108" spans="1:27" ht="15" customHeight="1">
      <c r="A108" s="102">
        <v>12</v>
      </c>
      <c r="B108" s="180" t="s">
        <v>198</v>
      </c>
      <c r="C108" s="108"/>
      <c r="D108" s="108"/>
      <c r="E108" s="108"/>
      <c r="F108" s="108"/>
      <c r="G108" s="108"/>
      <c r="H108" s="108"/>
      <c r="I108" s="108"/>
      <c r="J108" s="108"/>
      <c r="K108" s="108"/>
      <c r="L108" s="108"/>
      <c r="M108" s="108"/>
      <c r="N108" s="108"/>
      <c r="O108" s="108"/>
      <c r="P108" s="108"/>
      <c r="Q108" s="108"/>
      <c r="R108" s="108"/>
      <c r="S108" s="108"/>
      <c r="T108" s="109"/>
      <c r="U108" s="6"/>
      <c r="V108" s="6"/>
      <c r="W108" s="6"/>
      <c r="X108" s="6"/>
      <c r="Y108" s="6"/>
      <c r="Z108" s="6"/>
      <c r="AA108" s="6"/>
    </row>
    <row r="109" spans="1:27" ht="15" customHeight="1">
      <c r="A109" s="102">
        <v>13</v>
      </c>
      <c r="B109" s="180" t="s">
        <v>199</v>
      </c>
      <c r="C109" s="108"/>
      <c r="D109" s="108"/>
      <c r="E109" s="108"/>
      <c r="F109" s="108"/>
      <c r="G109" s="108"/>
      <c r="H109" s="108"/>
      <c r="I109" s="108"/>
      <c r="J109" s="108"/>
      <c r="K109" s="108"/>
      <c r="L109" s="108"/>
      <c r="M109" s="108"/>
      <c r="N109" s="108"/>
      <c r="O109" s="108"/>
      <c r="P109" s="108"/>
      <c r="Q109" s="108"/>
      <c r="R109" s="108"/>
      <c r="S109" s="108"/>
      <c r="T109" s="109"/>
      <c r="U109" s="6"/>
      <c r="V109" s="6"/>
      <c r="W109" s="6"/>
      <c r="X109" s="6"/>
      <c r="Y109" s="6"/>
      <c r="Z109" s="6"/>
      <c r="AA109" s="6"/>
    </row>
    <row r="110" spans="1:27" ht="15" customHeight="1">
      <c r="A110" s="102">
        <v>14</v>
      </c>
      <c r="B110" s="180" t="s">
        <v>200</v>
      </c>
      <c r="C110" s="108"/>
      <c r="D110" s="108"/>
      <c r="E110" s="108"/>
      <c r="F110" s="108"/>
      <c r="G110" s="108"/>
      <c r="H110" s="108"/>
      <c r="I110" s="108"/>
      <c r="J110" s="108"/>
      <c r="K110" s="108"/>
      <c r="L110" s="108"/>
      <c r="M110" s="108"/>
      <c r="N110" s="108"/>
      <c r="O110" s="108"/>
      <c r="P110" s="108"/>
      <c r="Q110" s="108"/>
      <c r="R110" s="108"/>
      <c r="S110" s="108"/>
      <c r="T110" s="109"/>
      <c r="U110" s="6"/>
      <c r="V110" s="6"/>
      <c r="W110" s="6"/>
      <c r="X110" s="6"/>
      <c r="Y110" s="6"/>
      <c r="Z110" s="6"/>
      <c r="AA110" s="6"/>
    </row>
    <row r="111" spans="1:27" ht="54.75" customHeight="1">
      <c r="A111" s="102">
        <v>15</v>
      </c>
      <c r="B111" s="181" t="s">
        <v>201</v>
      </c>
      <c r="C111" s="108"/>
      <c r="D111" s="108"/>
      <c r="E111" s="108"/>
      <c r="F111" s="108"/>
      <c r="G111" s="108"/>
      <c r="H111" s="108"/>
      <c r="I111" s="108"/>
      <c r="J111" s="108"/>
      <c r="K111" s="108"/>
      <c r="L111" s="108"/>
      <c r="M111" s="108"/>
      <c r="N111" s="108"/>
      <c r="O111" s="108"/>
      <c r="P111" s="108"/>
      <c r="Q111" s="108"/>
      <c r="R111" s="108"/>
      <c r="S111" s="108"/>
      <c r="T111" s="109"/>
      <c r="U111" s="6"/>
      <c r="V111" s="6"/>
      <c r="W111" s="6"/>
      <c r="X111" s="6"/>
      <c r="Y111" s="6"/>
      <c r="Z111" s="6"/>
      <c r="AA111" s="6"/>
    </row>
    <row r="112" spans="1:27" ht="30" customHeight="1">
      <c r="A112" s="102">
        <v>16</v>
      </c>
      <c r="B112" s="182" t="s">
        <v>202</v>
      </c>
      <c r="C112" s="108"/>
      <c r="D112" s="108"/>
      <c r="E112" s="108"/>
      <c r="F112" s="108"/>
      <c r="G112" s="108"/>
      <c r="H112" s="108"/>
      <c r="I112" s="108"/>
      <c r="J112" s="108"/>
      <c r="K112" s="108"/>
      <c r="L112" s="108"/>
      <c r="M112" s="108"/>
      <c r="N112" s="108"/>
      <c r="O112" s="108"/>
      <c r="P112" s="108"/>
      <c r="Q112" s="108"/>
      <c r="R112" s="108"/>
      <c r="S112" s="108"/>
      <c r="T112" s="109"/>
      <c r="U112" s="6"/>
      <c r="V112" s="6"/>
      <c r="W112" s="6"/>
      <c r="X112" s="6"/>
      <c r="Y112" s="6"/>
      <c r="Z112" s="6"/>
      <c r="AA112" s="6"/>
    </row>
    <row r="113" spans="1:27" ht="15" customHeight="1">
      <c r="A113" s="103">
        <v>17</v>
      </c>
      <c r="B113" s="183" t="s">
        <v>203</v>
      </c>
      <c r="C113" s="113"/>
      <c r="D113" s="113"/>
      <c r="E113" s="113"/>
      <c r="F113" s="113"/>
      <c r="G113" s="113"/>
      <c r="H113" s="113"/>
      <c r="I113" s="113"/>
      <c r="J113" s="113"/>
      <c r="K113" s="113"/>
      <c r="L113" s="113"/>
      <c r="M113" s="113"/>
      <c r="N113" s="113"/>
      <c r="O113" s="113"/>
      <c r="P113" s="113"/>
      <c r="Q113" s="113"/>
      <c r="R113" s="113"/>
      <c r="S113" s="113"/>
      <c r="T113" s="114"/>
      <c r="U113" s="6"/>
      <c r="V113" s="6"/>
      <c r="W113" s="6"/>
      <c r="X113" s="6"/>
      <c r="Y113" s="6"/>
      <c r="Z113" s="6"/>
      <c r="AA113" s="6"/>
    </row>
    <row r="114" spans="1:27" ht="14.25" customHeight="1">
      <c r="A114" s="7"/>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4.25" customHeight="1">
      <c r="A116" s="7"/>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4.25" customHeight="1">
      <c r="A117" s="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4.25" customHeight="1">
      <c r="A118" s="7"/>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4.25" customHeight="1">
      <c r="A119" s="7"/>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4.25" customHeight="1">
      <c r="A120" s="7"/>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4.25" customHeight="1">
      <c r="A121" s="7"/>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4.25" customHeight="1">
      <c r="A122" s="7"/>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4.25" customHeight="1">
      <c r="A123" s="7"/>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4.25" customHeight="1">
      <c r="A124" s="7"/>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4.25" customHeight="1">
      <c r="A125" s="7"/>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4.25" customHeight="1">
      <c r="A126" s="7"/>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4.25" customHeight="1">
      <c r="A127" s="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4.25" customHeight="1">
      <c r="A128" s="7"/>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4.25" customHeight="1">
      <c r="A129" s="7"/>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4.25" customHeight="1">
      <c r="A130" s="7"/>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4.25" customHeight="1">
      <c r="A131" s="7"/>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4.25" customHeight="1">
      <c r="A132" s="7"/>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4.25" customHeight="1">
      <c r="A133" s="7"/>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4.25" customHeight="1">
      <c r="A134" s="7"/>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4.25" customHeight="1">
      <c r="A135" s="7"/>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4.25" customHeight="1">
      <c r="A136" s="7"/>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4.25" customHeight="1">
      <c r="A137" s="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4.25" customHeight="1">
      <c r="A138" s="7"/>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4.25" customHeight="1">
      <c r="A139" s="7"/>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4.25" customHeight="1">
      <c r="A140" s="7"/>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4.25" customHeight="1">
      <c r="A141" s="7"/>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4.25" customHeight="1">
      <c r="A142" s="7"/>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4.25" customHeight="1">
      <c r="A143" s="7"/>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4.25" customHeight="1">
      <c r="A144" s="7"/>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4.25" customHeight="1">
      <c r="A145" s="7"/>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4.25" customHeight="1">
      <c r="A146" s="7"/>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4.25" customHeight="1">
      <c r="A147" s="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4.25" customHeight="1">
      <c r="A148" s="7"/>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4.25" customHeight="1">
      <c r="A149" s="7"/>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4.25" customHeight="1">
      <c r="A150" s="7"/>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4.25" customHeight="1">
      <c r="A151" s="7"/>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4.25" customHeight="1">
      <c r="A152" s="7"/>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4.25" customHeight="1">
      <c r="A153" s="7"/>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4.25" customHeight="1">
      <c r="A154" s="7"/>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4.25" customHeight="1">
      <c r="A155" s="7"/>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4.25" customHeight="1">
      <c r="A156" s="7"/>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4.25" customHeight="1">
      <c r="A157" s="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4.25" customHeight="1">
      <c r="A158" s="7"/>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4.25" customHeight="1">
      <c r="A159" s="7"/>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4.25" customHeight="1">
      <c r="A160" s="7"/>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4.25" customHeight="1">
      <c r="A161" s="7"/>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4.25" customHeight="1">
      <c r="A162" s="7"/>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4.25" customHeight="1">
      <c r="A163" s="7"/>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4.25" customHeight="1">
      <c r="A164" s="7"/>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4.25" customHeight="1">
      <c r="A165" s="7"/>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4.25" customHeight="1">
      <c r="A166" s="7"/>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4.25" customHeight="1">
      <c r="A167" s="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4.25" customHeight="1">
      <c r="A168" s="7"/>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4.25" customHeight="1">
      <c r="A169" s="7"/>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4.25" customHeight="1">
      <c r="A170" s="7"/>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4.25" customHeight="1">
      <c r="A171" s="7"/>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4.25" customHeight="1">
      <c r="A172" s="7"/>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4.25" customHeight="1">
      <c r="A173" s="7"/>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4.25" customHeight="1">
      <c r="A174" s="7"/>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4.25" customHeight="1">
      <c r="A175" s="7"/>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4.25" customHeight="1">
      <c r="A176" s="7"/>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4.25" customHeight="1">
      <c r="A177" s="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4.25" customHeight="1">
      <c r="A178" s="7"/>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4.25" customHeight="1">
      <c r="A179" s="7"/>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4.25" customHeight="1">
      <c r="A180" s="7"/>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4.25" customHeight="1">
      <c r="A181" s="7"/>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4.25" customHeight="1">
      <c r="A182" s="7"/>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4.25" customHeight="1">
      <c r="A183" s="7"/>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4.25" customHeight="1">
      <c r="A184" s="7"/>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4.25" customHeight="1">
      <c r="A185" s="7"/>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4.25" customHeight="1">
      <c r="A186" s="7"/>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4.25" customHeight="1">
      <c r="A187" s="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4.25" customHeight="1">
      <c r="A188" s="7"/>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4.25" customHeight="1">
      <c r="A189" s="7"/>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4.25" customHeight="1">
      <c r="A190" s="7"/>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4.25" customHeight="1">
      <c r="A191" s="7"/>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4.25" customHeight="1">
      <c r="A192" s="7"/>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4.25" customHeight="1">
      <c r="A193" s="7"/>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4.25" customHeight="1">
      <c r="A194" s="7"/>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4.25" customHeight="1">
      <c r="A195" s="7"/>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4.25" customHeight="1">
      <c r="A196" s="7"/>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4.25" customHeight="1">
      <c r="A197" s="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4.25" customHeight="1">
      <c r="A198" s="7"/>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4.25" customHeight="1">
      <c r="A199" s="7"/>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4.25" customHeight="1">
      <c r="A200" s="7"/>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4.25" customHeight="1">
      <c r="A201" s="7"/>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4.25" customHeight="1">
      <c r="A202" s="7"/>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4.25" customHeight="1">
      <c r="A203" s="7"/>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4.25" customHeight="1">
      <c r="A204" s="7"/>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4.25" customHeight="1">
      <c r="A205" s="7"/>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4.25" customHeight="1">
      <c r="A206" s="7"/>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4.25" customHeight="1">
      <c r="A207" s="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4.25" customHeight="1">
      <c r="A208" s="7"/>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4.25" customHeight="1">
      <c r="A209" s="7"/>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4.25" customHeight="1">
      <c r="A210" s="7"/>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4.25" customHeight="1">
      <c r="A211" s="7"/>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4.25" customHeight="1">
      <c r="A212" s="7"/>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4.25" customHeight="1">
      <c r="A213" s="7"/>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4.25" customHeight="1">
      <c r="A214" s="7"/>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4.25" customHeight="1">
      <c r="A215" s="7"/>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4.25" customHeight="1">
      <c r="A216" s="7"/>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4.25" customHeight="1">
      <c r="A217" s="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4.25" customHeight="1">
      <c r="A218" s="7"/>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4.25" customHeight="1">
      <c r="A219" s="7"/>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4.25" customHeight="1">
      <c r="A220" s="7"/>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4.25" customHeight="1">
      <c r="A221" s="7"/>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4.25" customHeight="1">
      <c r="A222" s="7"/>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4.25" customHeight="1">
      <c r="A223" s="7"/>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4.25" customHeight="1">
      <c r="A224" s="7"/>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4.25" customHeight="1">
      <c r="A225" s="7"/>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4.25" customHeight="1">
      <c r="A226" s="7"/>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4.25" customHeight="1">
      <c r="A227" s="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4.25" customHeight="1">
      <c r="A228" s="7"/>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4.25" customHeight="1">
      <c r="A229" s="7"/>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4.25" customHeight="1">
      <c r="A230" s="7"/>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4.25" customHeight="1">
      <c r="A231" s="7"/>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4.25" customHeight="1">
      <c r="A232" s="7"/>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4.25" customHeight="1">
      <c r="A233" s="7"/>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4.25" customHeight="1">
      <c r="A234" s="7"/>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4.25" customHeight="1">
      <c r="A235" s="7"/>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4.25" customHeight="1">
      <c r="A236" s="7"/>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4.25" customHeight="1">
      <c r="A237" s="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4.25" customHeight="1">
      <c r="A238" s="7"/>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4.25" customHeight="1">
      <c r="A239" s="7"/>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4.25" customHeight="1">
      <c r="A240" s="7"/>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4.25" customHeight="1">
      <c r="A241" s="7"/>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4.25" customHeight="1">
      <c r="A242" s="7"/>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4.25" customHeight="1">
      <c r="A243" s="7"/>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4.25" customHeight="1">
      <c r="A244" s="7"/>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4.25" customHeight="1">
      <c r="A245" s="7"/>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4.25" customHeight="1">
      <c r="A246" s="7"/>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4.25" customHeight="1">
      <c r="A247" s="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4.25" customHeight="1">
      <c r="A248" s="7"/>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4.25" customHeight="1">
      <c r="A249" s="7"/>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4.25" customHeight="1">
      <c r="A250" s="7"/>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4.25" customHeight="1">
      <c r="A251" s="7"/>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4.25" customHeight="1">
      <c r="A252" s="7"/>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4.25" customHeight="1">
      <c r="A253" s="7"/>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4.25" customHeight="1">
      <c r="A254" s="7"/>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4.25" customHeight="1">
      <c r="A255" s="7"/>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4.25" customHeight="1">
      <c r="A256" s="7"/>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4.25" customHeight="1">
      <c r="A257" s="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4.25" customHeight="1">
      <c r="A258" s="7"/>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4.25" customHeight="1">
      <c r="A259" s="7"/>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4.25" customHeight="1">
      <c r="A260" s="7"/>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4.25" customHeight="1">
      <c r="A261" s="7"/>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4.25" customHeight="1">
      <c r="A262" s="7"/>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4.25" customHeight="1">
      <c r="A263" s="7"/>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4.25" customHeight="1">
      <c r="A264" s="7"/>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4.25" customHeight="1">
      <c r="A265" s="7"/>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4.25" customHeight="1">
      <c r="A266" s="7"/>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4.25" customHeight="1">
      <c r="A267" s="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4.25" customHeight="1">
      <c r="A268" s="7"/>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4.25" customHeight="1">
      <c r="A269" s="7"/>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4.25" customHeight="1">
      <c r="A270" s="7"/>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4.25" customHeight="1">
      <c r="A271" s="7"/>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4.25" customHeight="1">
      <c r="A272" s="7"/>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4.25" customHeight="1">
      <c r="A273" s="7"/>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4.25" customHeight="1">
      <c r="A274" s="7"/>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4.25" customHeight="1">
      <c r="A275" s="7"/>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4.25" customHeight="1">
      <c r="A276" s="7"/>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4.25" customHeight="1">
      <c r="A277" s="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4.25" customHeight="1">
      <c r="A278" s="7"/>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4.25" customHeight="1">
      <c r="A279" s="7"/>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4.25" customHeight="1">
      <c r="A280" s="7"/>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4.25" customHeight="1">
      <c r="A281" s="7"/>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4.25" customHeight="1">
      <c r="A282" s="7"/>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4.25" customHeight="1">
      <c r="A283" s="7"/>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4.25" customHeight="1">
      <c r="A284" s="7"/>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4.25" customHeight="1">
      <c r="A285" s="7"/>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4.25" customHeight="1">
      <c r="A286" s="7"/>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4.25" customHeight="1">
      <c r="A287" s="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4.25" customHeight="1">
      <c r="A288" s="7"/>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4.25" customHeight="1">
      <c r="A289" s="7"/>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4.25" customHeight="1">
      <c r="A290" s="7"/>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4.25" customHeight="1">
      <c r="A291" s="7"/>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4.25" customHeight="1">
      <c r="A292" s="7"/>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4.25" customHeight="1">
      <c r="A293" s="7"/>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4.25" customHeight="1">
      <c r="A294" s="7"/>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4.25" customHeight="1">
      <c r="A295" s="7"/>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4.25" customHeight="1">
      <c r="A296" s="7"/>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4.25" customHeight="1">
      <c r="A297" s="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4.25" customHeight="1">
      <c r="A298" s="7"/>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4.25" customHeight="1">
      <c r="A299" s="7"/>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4.25" customHeight="1">
      <c r="A300" s="7"/>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4.25" customHeight="1">
      <c r="A301" s="7"/>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4.25" customHeight="1">
      <c r="A302" s="7"/>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4.25" customHeight="1">
      <c r="A303" s="7"/>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4.25" customHeight="1">
      <c r="A304" s="7"/>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4.25" customHeight="1">
      <c r="A305" s="7"/>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4.25" customHeight="1">
      <c r="A306" s="7"/>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4.25" customHeight="1">
      <c r="A307" s="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4.25" customHeight="1">
      <c r="A308" s="7"/>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4.25" customHeight="1">
      <c r="A309" s="7"/>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4.25" customHeight="1">
      <c r="A310" s="7"/>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4.25" customHeight="1">
      <c r="A311" s="7"/>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4.25" customHeight="1">
      <c r="A312" s="7"/>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4.25" customHeight="1">
      <c r="A313" s="7"/>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4.25" customHeight="1">
      <c r="A314" s="7"/>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4.25" customHeight="1">
      <c r="A315" s="7"/>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4.25" customHeight="1">
      <c r="A316" s="7"/>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4.25" customHeight="1">
      <c r="A317" s="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4.25" customHeight="1">
      <c r="A318" s="7"/>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4.25" customHeight="1">
      <c r="A319" s="7"/>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4.25" customHeight="1">
      <c r="A320" s="7"/>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4.25" customHeight="1">
      <c r="A321" s="7"/>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4.25" customHeight="1">
      <c r="A322" s="7"/>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4.25" customHeight="1">
      <c r="A323" s="7"/>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4.25" customHeight="1">
      <c r="A324" s="7"/>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4.25" customHeight="1">
      <c r="A325" s="7"/>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4.25" customHeight="1">
      <c r="A326" s="7"/>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4.25" customHeight="1">
      <c r="A327" s="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4.25" customHeight="1">
      <c r="A328" s="7"/>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4.25" customHeight="1">
      <c r="A329" s="7"/>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4.25" customHeight="1">
      <c r="A330" s="7"/>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4.25" customHeight="1">
      <c r="A331" s="7"/>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4.25" customHeight="1">
      <c r="A332" s="7"/>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4.25" customHeight="1">
      <c r="A333" s="7"/>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4.25" customHeight="1">
      <c r="A334" s="7"/>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4.25" customHeight="1">
      <c r="A335" s="7"/>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4.25" customHeight="1">
      <c r="A336" s="7"/>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4.25" customHeight="1">
      <c r="A337" s="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4.25" customHeight="1">
      <c r="A338" s="7"/>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4.25" customHeight="1">
      <c r="A339" s="7"/>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4.25" customHeight="1">
      <c r="A340" s="7"/>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4.25" customHeight="1">
      <c r="A341" s="7"/>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4.25" customHeight="1">
      <c r="A342" s="7"/>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4.25" customHeight="1">
      <c r="A343" s="7"/>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4.25" customHeight="1">
      <c r="A344" s="7"/>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4.25" customHeight="1">
      <c r="A345" s="7"/>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4.25" customHeight="1">
      <c r="A346" s="7"/>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4.25" customHeight="1">
      <c r="A347" s="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4.25" customHeight="1">
      <c r="A348" s="7"/>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4.25" customHeight="1">
      <c r="A349" s="7"/>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4.25" customHeight="1">
      <c r="A350" s="7"/>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4.25" customHeight="1">
      <c r="A351" s="7"/>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4.25" customHeight="1">
      <c r="A352" s="7"/>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4.25" customHeight="1">
      <c r="A353" s="7"/>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4.25" customHeight="1">
      <c r="A354" s="7"/>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4.25" customHeight="1">
      <c r="A355" s="7"/>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4.25" customHeight="1">
      <c r="A356" s="7"/>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4.25" customHeight="1">
      <c r="A357" s="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4.25" customHeight="1">
      <c r="A358" s="7"/>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4.25" customHeight="1">
      <c r="A359" s="7"/>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4.25" customHeight="1">
      <c r="A360" s="7"/>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4.25" customHeight="1">
      <c r="A361" s="7"/>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4.25" customHeight="1">
      <c r="A362" s="7"/>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4.25" customHeight="1">
      <c r="A363" s="7"/>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4.25" customHeight="1">
      <c r="A364" s="7"/>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4.25" customHeight="1">
      <c r="A365" s="7"/>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4.25" customHeight="1">
      <c r="A366" s="7"/>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4.25" customHeight="1">
      <c r="A367" s="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4.25" customHeight="1">
      <c r="A368" s="7"/>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4.25" customHeight="1">
      <c r="A369" s="7"/>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4.25" customHeight="1">
      <c r="A370" s="7"/>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4.25" customHeight="1">
      <c r="A371" s="7"/>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4.25" customHeight="1">
      <c r="A372" s="7"/>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4.25" customHeight="1">
      <c r="A373" s="7"/>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4.25" customHeight="1">
      <c r="A374" s="7"/>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4.25" customHeight="1">
      <c r="A375" s="7"/>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4.25" customHeight="1">
      <c r="A376" s="7"/>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4.25" customHeight="1">
      <c r="A377" s="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4.25" customHeight="1">
      <c r="A378" s="7"/>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4.25" customHeight="1">
      <c r="A379" s="7"/>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4.25" customHeight="1">
      <c r="A380" s="7"/>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4.25" customHeight="1">
      <c r="A381" s="7"/>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4.25" customHeight="1">
      <c r="A382" s="7"/>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4.25" customHeight="1">
      <c r="A383" s="7"/>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4.25" customHeight="1">
      <c r="A384" s="7"/>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4.25" customHeight="1">
      <c r="A385" s="7"/>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4.25" customHeight="1">
      <c r="A386" s="7"/>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4.25" customHeight="1">
      <c r="A387" s="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4.25" customHeight="1">
      <c r="A388" s="7"/>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4.25" customHeight="1">
      <c r="A389" s="7"/>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4.25" customHeight="1">
      <c r="A390" s="7"/>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4.25" customHeight="1">
      <c r="A391" s="7"/>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4.25" customHeight="1">
      <c r="A392" s="7"/>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4.25" customHeight="1">
      <c r="A393" s="7"/>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4.25" customHeight="1">
      <c r="A394" s="7"/>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4.25" customHeight="1">
      <c r="A395" s="7"/>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4.25" customHeight="1">
      <c r="A396" s="7"/>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4.25" customHeight="1">
      <c r="A397" s="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4.25" customHeight="1">
      <c r="A398" s="7"/>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4.25" customHeight="1">
      <c r="A399" s="7"/>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4.25" customHeight="1">
      <c r="A400" s="7"/>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4.25" customHeight="1">
      <c r="A401" s="7"/>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4.25" customHeight="1">
      <c r="A402" s="7"/>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4.25" customHeight="1">
      <c r="A403" s="7"/>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4.25" customHeight="1">
      <c r="A404" s="7"/>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4.25" customHeight="1">
      <c r="A405" s="7"/>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4.25" customHeight="1">
      <c r="A406" s="7"/>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4.25" customHeight="1">
      <c r="A407" s="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4.25" customHeight="1">
      <c r="A408" s="7"/>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4.25" customHeight="1">
      <c r="A409" s="7"/>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4.25" customHeight="1">
      <c r="A410" s="7"/>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4.25" customHeight="1">
      <c r="A411" s="7"/>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4.25" customHeight="1">
      <c r="A412" s="7"/>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4.25" customHeight="1">
      <c r="A413" s="7"/>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4.25" customHeight="1">
      <c r="A414" s="7"/>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4.25" customHeight="1">
      <c r="A415" s="7"/>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4.25" customHeight="1">
      <c r="A416" s="7"/>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4.25" customHeight="1">
      <c r="A417" s="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4.25" customHeight="1">
      <c r="A418" s="7"/>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4.25" customHeight="1">
      <c r="A419" s="7"/>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4.25" customHeight="1">
      <c r="A420" s="7"/>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4.25" customHeight="1">
      <c r="A421" s="7"/>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4.25" customHeight="1">
      <c r="A422" s="7"/>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4.25" customHeight="1">
      <c r="A423" s="7"/>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4.25" customHeight="1">
      <c r="A424" s="7"/>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4.25" customHeight="1">
      <c r="A425" s="7"/>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4.25" customHeight="1">
      <c r="A426" s="7"/>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4.25" customHeight="1">
      <c r="A427" s="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4.25" customHeight="1">
      <c r="A428" s="7"/>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4.25" customHeight="1">
      <c r="A429" s="7"/>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4.25" customHeight="1">
      <c r="A430" s="7"/>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4.25" customHeight="1">
      <c r="A431" s="7"/>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4.25" customHeight="1">
      <c r="A432" s="7"/>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4.25" customHeight="1">
      <c r="A433" s="7"/>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4.25" customHeight="1">
      <c r="A434" s="7"/>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4.25" customHeight="1">
      <c r="A435" s="7"/>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4.25" customHeight="1">
      <c r="A436" s="7"/>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4.25" customHeight="1">
      <c r="A437" s="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4.25" customHeight="1">
      <c r="A438" s="7"/>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4.25" customHeight="1">
      <c r="A439" s="7"/>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4.25" customHeight="1">
      <c r="A440" s="7"/>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4.25" customHeight="1">
      <c r="A441" s="7"/>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4.25" customHeight="1">
      <c r="A442" s="7"/>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4.25" customHeight="1">
      <c r="A443" s="7"/>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4.25" customHeight="1">
      <c r="A444" s="7"/>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4.25" customHeight="1">
      <c r="A445" s="7"/>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4.25" customHeight="1">
      <c r="A446" s="7"/>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4.25" customHeight="1">
      <c r="A447" s="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4.25" customHeight="1">
      <c r="A448" s="7"/>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4.25" customHeight="1">
      <c r="A449" s="7"/>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4.25" customHeight="1">
      <c r="A450" s="7"/>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4.25" customHeight="1">
      <c r="A451" s="7"/>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4.25" customHeight="1">
      <c r="A452" s="7"/>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4.25" customHeight="1">
      <c r="A453" s="7"/>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4.25" customHeight="1">
      <c r="A454" s="7"/>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4.25" customHeight="1">
      <c r="A455" s="7"/>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4.25" customHeight="1">
      <c r="A456" s="7"/>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4.25" customHeight="1">
      <c r="A457" s="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4.25" customHeight="1">
      <c r="A458" s="7"/>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4.25" customHeight="1">
      <c r="A459" s="7"/>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4.25" customHeight="1">
      <c r="A460" s="7"/>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4.25" customHeight="1">
      <c r="A461" s="7"/>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4.25" customHeight="1">
      <c r="A462" s="7"/>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4.25" customHeight="1">
      <c r="A463" s="7"/>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4.25" customHeight="1">
      <c r="A464" s="7"/>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4.25" customHeight="1">
      <c r="A465" s="7"/>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4.25" customHeight="1">
      <c r="A466" s="7"/>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4.25" customHeight="1">
      <c r="A467" s="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4.25" customHeight="1">
      <c r="A468" s="7"/>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4.25" customHeight="1">
      <c r="A469" s="7"/>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4.25" customHeight="1">
      <c r="A470" s="7"/>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4.25" customHeight="1">
      <c r="A471" s="7"/>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4.25" customHeight="1">
      <c r="A472" s="7"/>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4.25" customHeight="1">
      <c r="A473" s="7"/>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4.25" customHeight="1">
      <c r="A474" s="7"/>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4.25" customHeight="1">
      <c r="A475" s="7"/>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4.25" customHeight="1">
      <c r="A476" s="7"/>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4.25" customHeight="1">
      <c r="A477" s="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4.25" customHeight="1">
      <c r="A478" s="7"/>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4.25" customHeight="1">
      <c r="A479" s="7"/>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4.25" customHeight="1">
      <c r="A480" s="7"/>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4.25" customHeight="1">
      <c r="A481" s="7"/>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4.25" customHeight="1">
      <c r="A482" s="7"/>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4.25" customHeight="1">
      <c r="A483" s="7"/>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4.25" customHeight="1">
      <c r="A484" s="7"/>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4.25" customHeight="1">
      <c r="A485" s="7"/>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4.25" customHeight="1">
      <c r="A486" s="7"/>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4.25" customHeight="1">
      <c r="A487" s="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4.25" customHeight="1">
      <c r="A488" s="7"/>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4.25" customHeight="1">
      <c r="A489" s="7"/>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4.25" customHeight="1">
      <c r="A490" s="7"/>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4.25" customHeight="1">
      <c r="A491" s="7"/>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4.25" customHeight="1">
      <c r="A492" s="7"/>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4.25" customHeight="1">
      <c r="A493" s="7"/>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4.25" customHeight="1">
      <c r="A494" s="7"/>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4.25" customHeight="1">
      <c r="A495" s="7"/>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4.25" customHeight="1">
      <c r="A496" s="7"/>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4.25" customHeight="1">
      <c r="A497" s="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4.25" customHeight="1">
      <c r="A498" s="7"/>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4.25" customHeight="1">
      <c r="A499" s="7"/>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4.25" customHeight="1">
      <c r="A500" s="7"/>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4.25" customHeight="1">
      <c r="A501" s="7"/>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4.25" customHeight="1">
      <c r="A502" s="7"/>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4.25" customHeight="1">
      <c r="A503" s="7"/>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4.25" customHeight="1">
      <c r="A504" s="7"/>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4.25" customHeight="1">
      <c r="A505" s="7"/>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4.25" customHeight="1">
      <c r="A506" s="7"/>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4.25" customHeight="1">
      <c r="A507" s="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4.25" customHeight="1">
      <c r="A508" s="7"/>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4.25" customHeight="1">
      <c r="A509" s="7"/>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4.25" customHeight="1">
      <c r="A510" s="7"/>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4.25" customHeight="1">
      <c r="A511" s="7"/>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4.25" customHeight="1">
      <c r="A512" s="7"/>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4.25" customHeight="1">
      <c r="A513" s="7"/>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4.25" customHeight="1">
      <c r="A514" s="7"/>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4.25" customHeight="1">
      <c r="A515" s="7"/>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4.25" customHeight="1">
      <c r="A516" s="7"/>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4.25" customHeight="1">
      <c r="A517" s="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4.25" customHeight="1">
      <c r="A518" s="7"/>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4.25" customHeight="1">
      <c r="A519" s="7"/>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4.25" customHeight="1">
      <c r="A520" s="7"/>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4.25" customHeight="1">
      <c r="A521" s="7"/>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4.25" customHeight="1">
      <c r="A522" s="7"/>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4.25" customHeight="1">
      <c r="A523" s="7"/>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4.25" customHeight="1">
      <c r="A524" s="7"/>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4.25" customHeight="1">
      <c r="A525" s="7"/>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4.25" customHeight="1">
      <c r="A526" s="7"/>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4.25" customHeight="1">
      <c r="A527" s="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4.25" customHeight="1">
      <c r="A528" s="7"/>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4.25" customHeight="1">
      <c r="A529" s="7"/>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4.25" customHeight="1">
      <c r="A530" s="7"/>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4.25" customHeight="1">
      <c r="A531" s="7"/>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4.25" customHeight="1">
      <c r="A532" s="7"/>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4.25" customHeight="1">
      <c r="A533" s="7"/>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4.25" customHeight="1">
      <c r="A534" s="7"/>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4.25" customHeight="1">
      <c r="A535" s="7"/>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4.25" customHeight="1">
      <c r="A536" s="7"/>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4.25" customHeight="1">
      <c r="A537" s="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4.25" customHeight="1">
      <c r="A538" s="7"/>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4.25" customHeight="1">
      <c r="A539" s="7"/>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4.25" customHeight="1">
      <c r="A540" s="7"/>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4.25" customHeight="1">
      <c r="A541" s="7"/>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4.25" customHeight="1">
      <c r="A542" s="7"/>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4.25" customHeight="1">
      <c r="A543" s="7"/>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4.25" customHeight="1">
      <c r="A544" s="7"/>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4.25" customHeight="1">
      <c r="A545" s="7"/>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4.25" customHeight="1">
      <c r="A546" s="7"/>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4.25" customHeight="1">
      <c r="A547" s="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4.25" customHeight="1">
      <c r="A548" s="7"/>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4.25" customHeight="1">
      <c r="A549" s="7"/>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4.25" customHeight="1">
      <c r="A550" s="7"/>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4.25" customHeight="1">
      <c r="A551" s="7"/>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4.25" customHeight="1">
      <c r="A552" s="7"/>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4.25" customHeight="1">
      <c r="A553" s="7"/>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4.25" customHeight="1">
      <c r="A554" s="7"/>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4.25" customHeight="1">
      <c r="A555" s="7"/>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4.25" customHeight="1">
      <c r="A556" s="7"/>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4.25" customHeight="1">
      <c r="A557" s="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4.25" customHeight="1">
      <c r="A558" s="7"/>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4.25" customHeight="1">
      <c r="A559" s="7"/>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4.25" customHeight="1">
      <c r="A560" s="7"/>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4.25" customHeight="1">
      <c r="A561" s="7"/>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4.25" customHeight="1">
      <c r="A562" s="7"/>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4.25" customHeight="1">
      <c r="A563" s="7"/>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4.25" customHeight="1">
      <c r="A564" s="7"/>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4.25" customHeight="1">
      <c r="A565" s="7"/>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4.25" customHeight="1">
      <c r="A566" s="7"/>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4.25" customHeight="1">
      <c r="A567" s="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4.25" customHeight="1">
      <c r="A568" s="7"/>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4.25" customHeight="1">
      <c r="A569" s="7"/>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4.25" customHeight="1">
      <c r="A570" s="7"/>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4.25" customHeight="1">
      <c r="A571" s="7"/>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4.25" customHeight="1">
      <c r="A572" s="7"/>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4.25" customHeight="1">
      <c r="A573" s="7"/>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4.25" customHeight="1">
      <c r="A574" s="7"/>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4.25" customHeight="1">
      <c r="A575" s="7"/>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4.25" customHeight="1">
      <c r="A576" s="7"/>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4.25" customHeight="1">
      <c r="A577" s="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4.25" customHeight="1">
      <c r="A578" s="7"/>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4.25" customHeight="1">
      <c r="A579" s="7"/>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4.25" customHeight="1">
      <c r="A580" s="7"/>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4.25" customHeight="1">
      <c r="A581" s="7"/>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4.25" customHeight="1">
      <c r="A582" s="7"/>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4.25" customHeight="1">
      <c r="A583" s="7"/>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4.25" customHeight="1">
      <c r="A584" s="7"/>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4.25" customHeight="1">
      <c r="A585" s="7"/>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4.25" customHeight="1">
      <c r="A586" s="7"/>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4.25" customHeight="1">
      <c r="A587" s="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4.25" customHeight="1">
      <c r="A588" s="7"/>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4.25" customHeight="1">
      <c r="A589" s="7"/>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4.25" customHeight="1">
      <c r="A590" s="7"/>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4.25" customHeight="1">
      <c r="A591" s="7"/>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4.25" customHeight="1">
      <c r="A592" s="7"/>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4.25" customHeight="1">
      <c r="A593" s="7"/>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4.25" customHeight="1">
      <c r="A594" s="7"/>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4.25" customHeight="1">
      <c r="A595" s="7"/>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4.25" customHeight="1">
      <c r="A596" s="7"/>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4.25" customHeight="1">
      <c r="A597" s="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4.25" customHeight="1">
      <c r="A598" s="7"/>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4.25" customHeight="1">
      <c r="A599" s="7"/>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4.25" customHeight="1">
      <c r="A600" s="7"/>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4.25" customHeight="1">
      <c r="A601" s="7"/>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4.25" customHeight="1">
      <c r="A602" s="7"/>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4.25" customHeight="1">
      <c r="A603" s="7"/>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4.25" customHeight="1">
      <c r="A604" s="7"/>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4.25" customHeight="1">
      <c r="A605" s="7"/>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4.25" customHeight="1">
      <c r="A606" s="7"/>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4.25" customHeight="1">
      <c r="A607" s="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4.25" customHeight="1">
      <c r="A608" s="7"/>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4.25" customHeight="1">
      <c r="A609" s="7"/>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4.25" customHeight="1">
      <c r="A610" s="7"/>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4.25" customHeight="1">
      <c r="A611" s="7"/>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4.25" customHeight="1">
      <c r="A612" s="7"/>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4.25" customHeight="1">
      <c r="A613" s="7"/>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4.25" customHeight="1">
      <c r="A614" s="7"/>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4.25" customHeight="1">
      <c r="A615" s="7"/>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4.25" customHeight="1">
      <c r="A616" s="7"/>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4.25" customHeight="1">
      <c r="A617" s="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4.25" customHeight="1">
      <c r="A618" s="7"/>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4.25" customHeight="1">
      <c r="A619" s="7"/>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4.25" customHeight="1">
      <c r="A620" s="7"/>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4.25" customHeight="1">
      <c r="A621" s="7"/>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4.25" customHeight="1">
      <c r="A622" s="7"/>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4.25" customHeight="1">
      <c r="A623" s="7"/>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4.25" customHeight="1">
      <c r="A624" s="7"/>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4.25" customHeight="1">
      <c r="A625" s="7"/>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4.25" customHeight="1">
      <c r="A626" s="7"/>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4.25" customHeight="1">
      <c r="A627" s="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4.25" customHeight="1">
      <c r="A628" s="7"/>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4.25" customHeight="1">
      <c r="A629" s="7"/>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4.25" customHeight="1">
      <c r="A630" s="7"/>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4.25" customHeight="1">
      <c r="A631" s="7"/>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4.25" customHeight="1">
      <c r="A632" s="7"/>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4.25" customHeight="1">
      <c r="A633" s="7"/>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4.25" customHeight="1">
      <c r="A634" s="7"/>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4.25" customHeight="1">
      <c r="A635" s="7"/>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4.25" customHeight="1">
      <c r="A636" s="7"/>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4.25" customHeight="1">
      <c r="A637" s="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4.25" customHeight="1">
      <c r="A638" s="7"/>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4.25" customHeight="1">
      <c r="A639" s="7"/>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4.25" customHeight="1">
      <c r="A640" s="7"/>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4.25" customHeight="1">
      <c r="A641" s="7"/>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4.25" customHeight="1">
      <c r="A642" s="7"/>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4.25" customHeight="1">
      <c r="A643" s="7"/>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4.25" customHeight="1">
      <c r="A644" s="7"/>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4.25" customHeight="1">
      <c r="A645" s="7"/>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4.25" customHeight="1">
      <c r="A646" s="7"/>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4.25" customHeight="1">
      <c r="A647" s="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4.25" customHeight="1">
      <c r="A648" s="7"/>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4.25" customHeight="1">
      <c r="A649" s="7"/>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4.25" customHeight="1">
      <c r="A650" s="7"/>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4.25" customHeight="1">
      <c r="A651" s="7"/>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4.25" customHeight="1">
      <c r="A652" s="7"/>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4.25" customHeight="1">
      <c r="A653" s="7"/>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4.25" customHeight="1">
      <c r="A654" s="7"/>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4.25" customHeight="1">
      <c r="A655" s="7"/>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4.25" customHeight="1">
      <c r="A656" s="7"/>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4.25" customHeight="1">
      <c r="A657" s="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4.25" customHeight="1">
      <c r="A658" s="7"/>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4.25" customHeight="1">
      <c r="A659" s="7"/>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4.25" customHeight="1">
      <c r="A660" s="7"/>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4.25" customHeight="1">
      <c r="A661" s="7"/>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4.25" customHeight="1">
      <c r="A662" s="7"/>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4.25" customHeight="1">
      <c r="A663" s="7"/>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4.25" customHeight="1">
      <c r="A664" s="7"/>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4.25" customHeight="1">
      <c r="A665" s="7"/>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4.25" customHeight="1">
      <c r="A666" s="7"/>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4.25" customHeight="1">
      <c r="A667" s="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4.25" customHeight="1">
      <c r="A668" s="7"/>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4.25" customHeight="1">
      <c r="A669" s="7"/>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4.25" customHeight="1">
      <c r="A670" s="7"/>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4.25" customHeight="1">
      <c r="A671" s="7"/>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4.25" customHeight="1">
      <c r="A672" s="7"/>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4.25" customHeight="1">
      <c r="A673" s="7"/>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4.25" customHeight="1">
      <c r="A674" s="7"/>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4.25" customHeight="1">
      <c r="A675" s="7"/>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4.25" customHeight="1">
      <c r="A676" s="7"/>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4.25" customHeight="1">
      <c r="A677" s="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4.25" customHeight="1">
      <c r="A678" s="7"/>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4.25" customHeight="1">
      <c r="A679" s="7"/>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4.25" customHeight="1">
      <c r="A680" s="7"/>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4.25" customHeight="1">
      <c r="A681" s="7"/>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4.25" customHeight="1">
      <c r="A682" s="7"/>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4.25" customHeight="1">
      <c r="A683" s="7"/>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4.25" customHeight="1">
      <c r="A684" s="7"/>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4.25" customHeight="1">
      <c r="A685" s="7"/>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4.25" customHeight="1">
      <c r="A686" s="7"/>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4.25" customHeight="1">
      <c r="A687" s="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4.25" customHeight="1">
      <c r="A688" s="7"/>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4.25" customHeight="1">
      <c r="A689" s="7"/>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4.25" customHeight="1">
      <c r="A690" s="7"/>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4.25" customHeight="1">
      <c r="A691" s="7"/>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4.25" customHeight="1">
      <c r="A692" s="7"/>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4.25" customHeight="1">
      <c r="A693" s="7"/>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4.25" customHeight="1">
      <c r="A694" s="7"/>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4.25" customHeight="1">
      <c r="A695" s="7"/>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4.25" customHeight="1">
      <c r="A696" s="7"/>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4.25" customHeight="1">
      <c r="A697" s="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4.25" customHeight="1">
      <c r="A698" s="7"/>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4.25" customHeight="1">
      <c r="A699" s="7"/>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4.25" customHeight="1">
      <c r="A700" s="7"/>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4.25" customHeight="1">
      <c r="A701" s="7"/>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4.25" customHeight="1">
      <c r="A702" s="7"/>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4.25" customHeight="1">
      <c r="A703" s="7"/>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4.25" customHeight="1">
      <c r="A704" s="7"/>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4.25" customHeight="1">
      <c r="A705" s="7"/>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4.25" customHeight="1">
      <c r="A706" s="7"/>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4.25" customHeight="1">
      <c r="A707" s="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4.25" customHeight="1">
      <c r="A708" s="7"/>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4.25" customHeight="1">
      <c r="A709" s="7"/>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4.25" customHeight="1">
      <c r="A710" s="7"/>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4.25" customHeight="1">
      <c r="A711" s="7"/>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4.25" customHeight="1">
      <c r="A712" s="7"/>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4.25" customHeight="1">
      <c r="A713" s="7"/>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4.25" customHeight="1">
      <c r="A714" s="7"/>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4.25" customHeight="1">
      <c r="A715" s="7"/>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4.25" customHeight="1">
      <c r="A716" s="7"/>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4.25" customHeight="1">
      <c r="A717" s="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4.25" customHeight="1">
      <c r="A718" s="7"/>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4.25" customHeight="1">
      <c r="A719" s="7"/>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4.25" customHeight="1">
      <c r="A720" s="7"/>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4.25" customHeight="1">
      <c r="A721" s="7"/>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4.25" customHeight="1">
      <c r="A722" s="7"/>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4.25" customHeight="1">
      <c r="A723" s="7"/>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4.25" customHeight="1">
      <c r="A724" s="7"/>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4.25" customHeight="1">
      <c r="A725" s="7"/>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4.25" customHeight="1">
      <c r="A726" s="7"/>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4.25" customHeight="1">
      <c r="A727" s="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4.25" customHeight="1">
      <c r="A728" s="7"/>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4.25" customHeight="1">
      <c r="A729" s="7"/>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4.25" customHeight="1">
      <c r="A730" s="7"/>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4.25" customHeight="1">
      <c r="A731" s="7"/>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4.25" customHeight="1">
      <c r="A732" s="7"/>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4.25" customHeight="1">
      <c r="A733" s="7"/>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4.25" customHeight="1">
      <c r="A734" s="7"/>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4.25" customHeight="1">
      <c r="A735" s="7"/>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4.25" customHeight="1">
      <c r="A736" s="7"/>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4.25" customHeight="1">
      <c r="A737" s="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4.25" customHeight="1">
      <c r="A738" s="7"/>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4.25" customHeight="1">
      <c r="A739" s="7"/>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4.25" customHeight="1">
      <c r="A740" s="7"/>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4.25" customHeight="1">
      <c r="A741" s="7"/>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4.25" customHeight="1">
      <c r="A742" s="7"/>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4.25" customHeight="1">
      <c r="A743" s="7"/>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4.25" customHeight="1">
      <c r="A744" s="7"/>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4.25" customHeight="1">
      <c r="A745" s="7"/>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4.25" customHeight="1">
      <c r="A746" s="7"/>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4.25" customHeight="1">
      <c r="A747" s="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4.25" customHeight="1">
      <c r="A748" s="7"/>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4.25" customHeight="1">
      <c r="A749" s="7"/>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4.25" customHeight="1">
      <c r="A750" s="7"/>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4.25" customHeight="1">
      <c r="A751" s="7"/>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4.25" customHeight="1">
      <c r="A752" s="7"/>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4.25" customHeight="1">
      <c r="A753" s="7"/>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4.25" customHeight="1">
      <c r="A754" s="7"/>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4.25" customHeight="1">
      <c r="A755" s="7"/>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4.25" customHeight="1">
      <c r="A756" s="7"/>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4.25" customHeight="1">
      <c r="A757" s="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4.25" customHeight="1">
      <c r="A758" s="7"/>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4.25" customHeight="1">
      <c r="A759" s="7"/>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4.25" customHeight="1">
      <c r="A760" s="7"/>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4.25" customHeight="1">
      <c r="A761" s="7"/>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4.25" customHeight="1">
      <c r="A762" s="7"/>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4.25" customHeight="1">
      <c r="A763" s="7"/>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4.25" customHeight="1">
      <c r="A764" s="7"/>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4.25" customHeight="1">
      <c r="A765" s="7"/>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4.25" customHeight="1">
      <c r="A766" s="7"/>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4.25" customHeight="1">
      <c r="A767" s="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4.25" customHeight="1">
      <c r="A768" s="7"/>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4.25" customHeight="1">
      <c r="A769" s="7"/>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4.25" customHeight="1">
      <c r="A770" s="7"/>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4.25" customHeight="1">
      <c r="A771" s="7"/>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4.25" customHeight="1">
      <c r="A772" s="7"/>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4.25" customHeight="1">
      <c r="A773" s="7"/>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4.25" customHeight="1">
      <c r="A774" s="7"/>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4.25" customHeight="1">
      <c r="A775" s="7"/>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4.25" customHeight="1">
      <c r="A776" s="7"/>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4.25" customHeight="1">
      <c r="A777" s="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4.25" customHeight="1">
      <c r="A778" s="7"/>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4.25" customHeight="1">
      <c r="A779" s="7"/>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4.25" customHeight="1">
      <c r="A780" s="7"/>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4.25" customHeight="1">
      <c r="A781" s="7"/>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4.25" customHeight="1">
      <c r="A782" s="7"/>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4.25" customHeight="1">
      <c r="A783" s="7"/>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4.25" customHeight="1">
      <c r="A784" s="7"/>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4.25" customHeight="1">
      <c r="A785" s="7"/>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4.25" customHeight="1">
      <c r="A786" s="7"/>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4.25" customHeight="1">
      <c r="A787" s="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4.25" customHeight="1">
      <c r="A788" s="7"/>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4.25" customHeight="1">
      <c r="A789" s="7"/>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4.25" customHeight="1">
      <c r="A790" s="7"/>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4.25" customHeight="1">
      <c r="A791" s="7"/>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4.25" customHeight="1">
      <c r="A792" s="7"/>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4.25" customHeight="1">
      <c r="A793" s="7"/>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4.25" customHeight="1">
      <c r="A794" s="7"/>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4.25" customHeight="1">
      <c r="A795" s="7"/>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4.25" customHeight="1">
      <c r="A796" s="7"/>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4.25" customHeight="1">
      <c r="A797" s="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4.25" customHeight="1">
      <c r="A798" s="7"/>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4.25" customHeight="1">
      <c r="A799" s="7"/>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4.25" customHeight="1">
      <c r="A800" s="7"/>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4.25" customHeight="1">
      <c r="A801" s="7"/>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4.25" customHeight="1">
      <c r="A802" s="7"/>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4.25" customHeight="1">
      <c r="A803" s="7"/>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4.25" customHeight="1">
      <c r="A804" s="7"/>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4.25" customHeight="1">
      <c r="A805" s="7"/>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4.25" customHeight="1">
      <c r="A806" s="7"/>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4.25" customHeight="1">
      <c r="A807" s="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4.25" customHeight="1">
      <c r="A808" s="7"/>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4.25" customHeight="1">
      <c r="A809" s="7"/>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4.25" customHeight="1">
      <c r="A810" s="7"/>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4.25" customHeight="1">
      <c r="A811" s="7"/>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4.25" customHeight="1">
      <c r="A812" s="7"/>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4.25" customHeight="1">
      <c r="A813" s="7"/>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4.25" customHeight="1">
      <c r="A814" s="7"/>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4.25" customHeight="1">
      <c r="A815" s="7"/>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4.25" customHeight="1">
      <c r="A816" s="7"/>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4.25" customHeight="1">
      <c r="A817" s="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4.25" customHeight="1">
      <c r="A818" s="7"/>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4.25" customHeight="1">
      <c r="A819" s="7"/>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4.25" customHeight="1">
      <c r="A820" s="7"/>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4.25" customHeight="1">
      <c r="A821" s="7"/>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4.25" customHeight="1">
      <c r="A822" s="7"/>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4.25" customHeight="1">
      <c r="A823" s="7"/>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4.25" customHeight="1">
      <c r="A824" s="7"/>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4.25" customHeight="1">
      <c r="A825" s="7"/>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4.25" customHeight="1">
      <c r="A826" s="7"/>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4.25" customHeight="1">
      <c r="A827" s="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4.25" customHeight="1">
      <c r="A828" s="7"/>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4.25" customHeight="1">
      <c r="A829" s="7"/>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4.25" customHeight="1">
      <c r="A830" s="7"/>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4.25" customHeight="1">
      <c r="A831" s="7"/>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4.25" customHeight="1">
      <c r="A832" s="7"/>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4.25" customHeight="1">
      <c r="A833" s="7"/>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4.25" customHeight="1">
      <c r="A834" s="7"/>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4.25" customHeight="1">
      <c r="A835" s="7"/>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4.25" customHeight="1">
      <c r="A836" s="7"/>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4.25" customHeight="1">
      <c r="A837" s="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4.25" customHeight="1">
      <c r="A838" s="7"/>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4.25" customHeight="1">
      <c r="A839" s="7"/>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4.25" customHeight="1">
      <c r="A840" s="7"/>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4.25" customHeight="1">
      <c r="A841" s="7"/>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4.25" customHeight="1">
      <c r="A842" s="7"/>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4.25" customHeight="1">
      <c r="A843" s="7"/>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4.25" customHeight="1">
      <c r="A844" s="7"/>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4.25" customHeight="1">
      <c r="A845" s="7"/>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4.25" customHeight="1">
      <c r="A846" s="7"/>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4.4">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4.4">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4.4">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4.4">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4.4">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4.4">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4.4">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4.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4.4">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4.4">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4.4">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4.4">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4.4">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4.4">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4.4">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4.4">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4.4">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4.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4.4">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4.4">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4.4">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4.4">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4.4">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4.4">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4.4">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4.4">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4.4">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4.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4.4">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4.4">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4.4">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4.4">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4.4">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4.4">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4.4">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4.4">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4.4">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4.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4.4">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4.4">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4.4">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4.4">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4.4">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4.4">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4.4">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4.4">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4.4">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4.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4.4">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4.4">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4.4">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4.4">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4.4">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4.4">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4.4">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4.4">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4.4">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4.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4.4">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4.4">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4.4">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4.4">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4.4">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4.4">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4.4">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4.4">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4.4">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4.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4.4">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4.4">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4.4">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4.4">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4.4">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4.4">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4.4">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4.4">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4.4">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4.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4.4">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4.4">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4.4">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4.4">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4.4">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4.4">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4.4">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4.4">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4.4">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4.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4.4">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4.4">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4.4">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4.4">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4.4">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4.4">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4.4">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4.4">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4.4">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4.4">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4.4">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4.4">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4.4">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4.4">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4.4">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4.4">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4.4">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4.4">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4.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4.4">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4.4">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4.4">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4.4">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4.4">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4.4">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4.4">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4.4">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4.4">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4.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4.4">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4.4">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4.4">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4.4">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4.4">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4.4">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4.4">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4.4">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4.4">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4.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4.4">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4.4">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4.4">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4.4">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4.4">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4.4">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4.4">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4.4">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4.4">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4.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4.4">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4.4">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4.4">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4.4">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4.4">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4.4">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4.4">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4.4">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4.4">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4.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sheetData>
  <mergeCells count="241">
    <mergeCell ref="J76:L76"/>
    <mergeCell ref="M76:O76"/>
    <mergeCell ref="G77:I77"/>
    <mergeCell ref="J77:L77"/>
    <mergeCell ref="M77:O77"/>
    <mergeCell ref="G78:I78"/>
    <mergeCell ref="M89:O89"/>
    <mergeCell ref="P89:S89"/>
    <mergeCell ref="L59:P59"/>
    <mergeCell ref="K61:N61"/>
    <mergeCell ref="O61:Q63"/>
    <mergeCell ref="R61:T63"/>
    <mergeCell ref="O64:Q64"/>
    <mergeCell ref="R65:T65"/>
    <mergeCell ref="R66:T66"/>
    <mergeCell ref="O67:Q67"/>
    <mergeCell ref="R67:T67"/>
    <mergeCell ref="G61:J63"/>
    <mergeCell ref="G64:J64"/>
    <mergeCell ref="G65:J65"/>
    <mergeCell ref="G66:J66"/>
    <mergeCell ref="G67:J67"/>
    <mergeCell ref="G68:J68"/>
    <mergeCell ref="D69:J69"/>
    <mergeCell ref="D70:J70"/>
    <mergeCell ref="F59:J59"/>
    <mergeCell ref="B111:T111"/>
    <mergeCell ref="B112:T112"/>
    <mergeCell ref="B113:T113"/>
    <mergeCell ref="B101:T101"/>
    <mergeCell ref="B102:T102"/>
    <mergeCell ref="B103:T103"/>
    <mergeCell ref="B104:T104"/>
    <mergeCell ref="B105:T105"/>
    <mergeCell ref="B106:T106"/>
    <mergeCell ref="B107:T107"/>
    <mergeCell ref="B92:S92"/>
    <mergeCell ref="A93:S93"/>
    <mergeCell ref="B97:T97"/>
    <mergeCell ref="B98:T98"/>
    <mergeCell ref="B99:T99"/>
    <mergeCell ref="B100:T100"/>
    <mergeCell ref="B108:T108"/>
    <mergeCell ref="B109:T109"/>
    <mergeCell ref="B110:T110"/>
    <mergeCell ref="G89:I89"/>
    <mergeCell ref="J89:L89"/>
    <mergeCell ref="G90:I90"/>
    <mergeCell ref="J90:L90"/>
    <mergeCell ref="M90:O90"/>
    <mergeCell ref="P90:S90"/>
    <mergeCell ref="G91:I91"/>
    <mergeCell ref="J91:L91"/>
    <mergeCell ref="M91:O91"/>
    <mergeCell ref="P91:S91"/>
    <mergeCell ref="G86:I86"/>
    <mergeCell ref="J86:L86"/>
    <mergeCell ref="M86:O86"/>
    <mergeCell ref="P86:S86"/>
    <mergeCell ref="J87:L87"/>
    <mergeCell ref="M87:O87"/>
    <mergeCell ref="P87:S87"/>
    <mergeCell ref="G87:I87"/>
    <mergeCell ref="G88:I88"/>
    <mergeCell ref="J88:L88"/>
    <mergeCell ref="M88:O88"/>
    <mergeCell ref="P88:S88"/>
    <mergeCell ref="M85:O85"/>
    <mergeCell ref="P85:S85"/>
    <mergeCell ref="G83:I83"/>
    <mergeCell ref="J83:L83"/>
    <mergeCell ref="M83:O83"/>
    <mergeCell ref="P83:S83"/>
    <mergeCell ref="B84:S84"/>
    <mergeCell ref="G85:I85"/>
    <mergeCell ref="J85:L85"/>
    <mergeCell ref="J80:L80"/>
    <mergeCell ref="M80:O80"/>
    <mergeCell ref="P80:S80"/>
    <mergeCell ref="M82:O82"/>
    <mergeCell ref="P82:S82"/>
    <mergeCell ref="G80:I80"/>
    <mergeCell ref="G81:I81"/>
    <mergeCell ref="J81:L81"/>
    <mergeCell ref="M81:O81"/>
    <mergeCell ref="P81:S81"/>
    <mergeCell ref="G82:I82"/>
    <mergeCell ref="J82:L82"/>
    <mergeCell ref="O65:Q65"/>
    <mergeCell ref="O66:Q66"/>
    <mergeCell ref="J78:L78"/>
    <mergeCell ref="M78:O78"/>
    <mergeCell ref="P78:S78"/>
    <mergeCell ref="G79:I79"/>
    <mergeCell ref="J79:L79"/>
    <mergeCell ref="M79:O79"/>
    <mergeCell ref="P79:S79"/>
    <mergeCell ref="O68:Q68"/>
    <mergeCell ref="R68:T68"/>
    <mergeCell ref="O69:Q69"/>
    <mergeCell ref="R69:T69"/>
    <mergeCell ref="P74:S76"/>
    <mergeCell ref="T74:T76"/>
    <mergeCell ref="P77:S77"/>
    <mergeCell ref="K70:N70"/>
    <mergeCell ref="O70:Q70"/>
    <mergeCell ref="R70:T70"/>
    <mergeCell ref="D71:T71"/>
    <mergeCell ref="A73:T73"/>
    <mergeCell ref="E74:I74"/>
    <mergeCell ref="J74:O75"/>
    <mergeCell ref="G75:I76"/>
    <mergeCell ref="J51:K55"/>
    <mergeCell ref="E52:F52"/>
    <mergeCell ref="G52:I52"/>
    <mergeCell ref="E55:F55"/>
    <mergeCell ref="G55:I55"/>
    <mergeCell ref="E56:F56"/>
    <mergeCell ref="G56:I56"/>
    <mergeCell ref="J56:K57"/>
    <mergeCell ref="E57:F57"/>
    <mergeCell ref="G57:I57"/>
    <mergeCell ref="J27:K27"/>
    <mergeCell ref="D29:T29"/>
    <mergeCell ref="F31:J31"/>
    <mergeCell ref="D37:T37"/>
    <mergeCell ref="D38:T38"/>
    <mergeCell ref="D39:T39"/>
    <mergeCell ref="D40:T40"/>
    <mergeCell ref="D41:T41"/>
    <mergeCell ref="D42:T42"/>
    <mergeCell ref="A6:C6"/>
    <mergeCell ref="E6:F6"/>
    <mergeCell ref="G6:I6"/>
    <mergeCell ref="D7:I7"/>
    <mergeCell ref="D8:I8"/>
    <mergeCell ref="A7:C8"/>
    <mergeCell ref="A9:C9"/>
    <mergeCell ref="D9:T9"/>
    <mergeCell ref="D10:T10"/>
    <mergeCell ref="A1:B3"/>
    <mergeCell ref="C1:Q1"/>
    <mergeCell ref="R1:T3"/>
    <mergeCell ref="C2:Q2"/>
    <mergeCell ref="C3:Q3"/>
    <mergeCell ref="A4:T4"/>
    <mergeCell ref="A5:C5"/>
    <mergeCell ref="E5:F5"/>
    <mergeCell ref="G5:I5"/>
    <mergeCell ref="J5:L5"/>
    <mergeCell ref="M5:N5"/>
    <mergeCell ref="J6:L6"/>
    <mergeCell ref="J7:N7"/>
    <mergeCell ref="J8:N8"/>
    <mergeCell ref="O5:Q5"/>
    <mergeCell ref="R5:T5"/>
    <mergeCell ref="O6:Q6"/>
    <mergeCell ref="R6:T6"/>
    <mergeCell ref="O7:T7"/>
    <mergeCell ref="O8:T8"/>
    <mergeCell ref="E80:F80"/>
    <mergeCell ref="B86:D86"/>
    <mergeCell ref="B87:D87"/>
    <mergeCell ref="B88:D88"/>
    <mergeCell ref="B89:D89"/>
    <mergeCell ref="B90:D90"/>
    <mergeCell ref="B91:D91"/>
    <mergeCell ref="B78:D78"/>
    <mergeCell ref="B79:D79"/>
    <mergeCell ref="B80:D80"/>
    <mergeCell ref="B81:D81"/>
    <mergeCell ref="B82:D82"/>
    <mergeCell ref="B83:D83"/>
    <mergeCell ref="B85:D85"/>
    <mergeCell ref="E89:F89"/>
    <mergeCell ref="E90:F90"/>
    <mergeCell ref="E91:F91"/>
    <mergeCell ref="E81:F81"/>
    <mergeCell ref="E82:F82"/>
    <mergeCell ref="E83:F83"/>
    <mergeCell ref="E85:F85"/>
    <mergeCell ref="E86:F86"/>
    <mergeCell ref="E87:F87"/>
    <mergeCell ref="E88:F88"/>
    <mergeCell ref="A74:A76"/>
    <mergeCell ref="B74:D76"/>
    <mergeCell ref="B77:D77"/>
    <mergeCell ref="D67:F67"/>
    <mergeCell ref="D68:F68"/>
    <mergeCell ref="E75:F76"/>
    <mergeCell ref="E77:F77"/>
    <mergeCell ref="E78:F78"/>
    <mergeCell ref="E79:F79"/>
    <mergeCell ref="D59:E59"/>
    <mergeCell ref="D61:F63"/>
    <mergeCell ref="D64:F64"/>
    <mergeCell ref="D65:F65"/>
    <mergeCell ref="D66:F66"/>
    <mergeCell ref="A37:C41"/>
    <mergeCell ref="A42:C47"/>
    <mergeCell ref="A48:C58"/>
    <mergeCell ref="A59:C71"/>
    <mergeCell ref="D43:T43"/>
    <mergeCell ref="D44:T44"/>
    <mergeCell ref="D45:T45"/>
    <mergeCell ref="D46:T46"/>
    <mergeCell ref="D47:T47"/>
    <mergeCell ref="D48:T48"/>
    <mergeCell ref="E50:F50"/>
    <mergeCell ref="E53:F53"/>
    <mergeCell ref="G53:I53"/>
    <mergeCell ref="E54:F54"/>
    <mergeCell ref="G54:I54"/>
    <mergeCell ref="G50:I50"/>
    <mergeCell ref="J50:K50"/>
    <mergeCell ref="E51:F51"/>
    <mergeCell ref="G51:I51"/>
    <mergeCell ref="A10:C10"/>
    <mergeCell ref="A11:C19"/>
    <mergeCell ref="A20:C21"/>
    <mergeCell ref="D22:D23"/>
    <mergeCell ref="A29:C36"/>
    <mergeCell ref="D31:E32"/>
    <mergeCell ref="D33:E33"/>
    <mergeCell ref="D34:E34"/>
    <mergeCell ref="D35:E35"/>
    <mergeCell ref="D11:T11"/>
    <mergeCell ref="E12:T12"/>
    <mergeCell ref="E13:T13"/>
    <mergeCell ref="E14:T14"/>
    <mergeCell ref="D15:T15"/>
    <mergeCell ref="E16:T16"/>
    <mergeCell ref="E17:T17"/>
    <mergeCell ref="E18:S18"/>
    <mergeCell ref="D20:T20"/>
    <mergeCell ref="D21:T21"/>
    <mergeCell ref="E22:I22"/>
    <mergeCell ref="J22:K23"/>
    <mergeCell ref="J24:K24"/>
    <mergeCell ref="J25:K25"/>
    <mergeCell ref="J26:K26"/>
  </mergeCells>
  <printOptions horizontalCentered="1"/>
  <pageMargins left="0.39370078740157483" right="0.39370078740157483" top="0.39370078740157483" bottom="0.39370078740157483" header="0" footer="0"/>
  <pageSetup paperSize="14"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URAIAN RPS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t3nr1</dc:creator>
  <cp:lastModifiedBy>ASUS</cp:lastModifiedBy>
  <dcterms:created xsi:type="dcterms:W3CDTF">2023-10-30T04:06:32Z</dcterms:created>
  <dcterms:modified xsi:type="dcterms:W3CDTF">2026-02-19T03:40:54Z</dcterms:modified>
</cp:coreProperties>
</file>